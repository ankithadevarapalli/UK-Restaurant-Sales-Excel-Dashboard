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pivotTables/pivotTable12.xml" ContentType="application/vnd.openxmlformats-officedocument.spreadsheetml.pivotTable+xml"/>
  <Override PartName="/xl/drawings/drawing10.xml" ContentType="application/vnd.openxmlformats-officedocument.drawing+xml"/>
  <Override PartName="/xl/slicers/slicer3.xml" ContentType="application/vnd.ms-excel.slicer+xml"/>
  <Override PartName="/xl/pivotTables/pivotTable13.xml" ContentType="application/vnd.openxmlformats-officedocument.spreadsheetml.pivotTable+xml"/>
  <Override PartName="/xl/drawings/drawing11.xml" ContentType="application/vnd.openxmlformats-officedocument.drawing+xml"/>
  <Override PartName="/xl/slicers/slicer4.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8b026c2e33c415d5/Desktop/"/>
    </mc:Choice>
  </mc:AlternateContent>
  <xr:revisionPtr revIDLastSave="0" documentId="8_{917EB060-5C91-441A-A00F-83209A12B99F}" xr6:coauthVersionLast="47" xr6:coauthVersionMax="47" xr10:uidLastSave="{00000000-0000-0000-0000-000000000000}"/>
  <bookViews>
    <workbookView xWindow="-110" yWindow="-110" windowWidth="19420" windowHeight="11500" firstSheet="9" activeTab="9" xr2:uid="{00000000-000D-0000-FFFF-FFFF00000000}"/>
  </bookViews>
  <sheets>
    <sheet name="KPI_Summary" sheetId="4" state="hidden" r:id="rId1"/>
    <sheet name="Sales_by_shift" sheetId="5" state="hidden" r:id="rId2"/>
    <sheet name="Sales_by_Category" sheetId="6" state="hidden" r:id="rId3"/>
    <sheet name="Sales_by_payment_method" sheetId="7" state="hidden" r:id="rId4"/>
    <sheet name="Top_5_Menu_Items" sheetId="8" state="hidden" r:id="rId5"/>
    <sheet name="Sales_by_Category+graph" sheetId="9" state="hidden" r:id="rId6"/>
    <sheet name="Sales_by_Order_Status" sheetId="11" state="hidden" r:id="rId7"/>
    <sheet name="Monthly_sales_Trend" sheetId="13" state="hidden" r:id="rId8"/>
    <sheet name="AVG_Wait_Time_by_Shift" sheetId="19" state="hidden" r:id="rId9"/>
    <sheet name="DASHBORD" sheetId="20" r:id="rId10"/>
    <sheet name="Total_Sales" sheetId="22" state="hidden" r:id="rId11"/>
    <sheet name="Total_Sales_Slicer" sheetId="24" state="hidden" r:id="rId12"/>
    <sheet name="Total_Orders_Slicer" sheetId="27" state="hidden" r:id="rId13"/>
    <sheet name="AVG_Wait_Time_Slicer" sheetId="28" state="hidden" r:id="rId14"/>
    <sheet name="Restaurant_Data" sheetId="1" r:id="rId15"/>
    <sheet name="Data_Dictionary" sheetId="2" r:id="rId16"/>
    <sheet name="Project_Brief" sheetId="3" r:id="rId17"/>
  </sheets>
  <definedNames>
    <definedName name="Slicer_Category">#N/A</definedName>
  </definedNames>
  <calcPr calcId="191029"/>
  <pivotCaches>
    <pivotCache cacheId="1" r:id="rId18"/>
  </pivotCaches>
  <extLs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4" l="1"/>
  <c r="E4" i="4"/>
  <c r="D4" i="4"/>
  <c r="C4" i="4"/>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E5" i="20"/>
  <c r="C5" i="20"/>
  <c r="B5" i="20"/>
</calcChain>
</file>

<file path=xl/sharedStrings.xml><?xml version="1.0" encoding="utf-8"?>
<sst xmlns="http://schemas.openxmlformats.org/spreadsheetml/2006/main" count="10633" uniqueCount="1738">
  <si>
    <t>Order_ID</t>
  </si>
  <si>
    <t>Date</t>
  </si>
  <si>
    <t>Time</t>
  </si>
  <si>
    <t>Shift</t>
  </si>
  <si>
    <t>Menu_Item</t>
  </si>
  <si>
    <t>Category</t>
  </si>
  <si>
    <t>Quantity</t>
  </si>
  <si>
    <t>Unit_Price_GBP</t>
  </si>
  <si>
    <t>Total_Sales_GBP</t>
  </si>
  <si>
    <t>Payment_Method</t>
  </si>
  <si>
    <t>Table_No</t>
  </si>
  <si>
    <t>Wait_Time_Minutes</t>
  </si>
  <si>
    <t>Order_Status</t>
  </si>
  <si>
    <t>ORD-00001</t>
  </si>
  <si>
    <t>13:15</t>
  </si>
  <si>
    <t>Lunch</t>
  </si>
  <si>
    <t>Caesar Salad</t>
  </si>
  <si>
    <t>Main</t>
  </si>
  <si>
    <t>Contactless</t>
  </si>
  <si>
    <t>Completed</t>
  </si>
  <si>
    <t>ORD-00002</t>
  </si>
  <si>
    <t>12:15</t>
  </si>
  <si>
    <t>Coffee</t>
  </si>
  <si>
    <t>Drink</t>
  </si>
  <si>
    <t>ORD-00003</t>
  </si>
  <si>
    <t>15:20</t>
  </si>
  <si>
    <t>Margherita Pizza</t>
  </si>
  <si>
    <t>Card</t>
  </si>
  <si>
    <t>ORD-00004</t>
  </si>
  <si>
    <t>14:05</t>
  </si>
  <si>
    <t>Calamari</t>
  </si>
  <si>
    <t>Starter</t>
  </si>
  <si>
    <t>Cash</t>
  </si>
  <si>
    <t>ORD-00005</t>
  </si>
  <si>
    <t>20:05</t>
  </si>
  <si>
    <t>Dinner</t>
  </si>
  <si>
    <t>Tea</t>
  </si>
  <si>
    <t>ORD-00006</t>
  </si>
  <si>
    <t>12:20</t>
  </si>
  <si>
    <t>Chicken Burger</t>
  </si>
  <si>
    <t>ORD-00007</t>
  </si>
  <si>
    <t>Garlic Bread</t>
  </si>
  <si>
    <t>ORD-00008</t>
  </si>
  <si>
    <t>14:20</t>
  </si>
  <si>
    <t>ORD-00009</t>
  </si>
  <si>
    <t>11:25</t>
  </si>
  <si>
    <t>Chocolate Brownie</t>
  </si>
  <si>
    <t>Dessert</t>
  </si>
  <si>
    <t>ORD-00010</t>
  </si>
  <si>
    <t>22:35</t>
  </si>
  <si>
    <t>Fish &amp; Chips</t>
  </si>
  <si>
    <t>ORD-00011</t>
  </si>
  <si>
    <t>20:45</t>
  </si>
  <si>
    <t>Mobile Wallet</t>
  </si>
  <si>
    <t>ORD-00012</t>
  </si>
  <si>
    <t>22:30</t>
  </si>
  <si>
    <t>Sparkling Water</t>
  </si>
  <si>
    <t>ORD-00013</t>
  </si>
  <si>
    <t>15:00</t>
  </si>
  <si>
    <t>Veggie Burger</t>
  </si>
  <si>
    <t>ORD-00014</t>
  </si>
  <si>
    <t>11:55</t>
  </si>
  <si>
    <t>Refunded</t>
  </si>
  <si>
    <t>ORD-00015</t>
  </si>
  <si>
    <t>19:50</t>
  </si>
  <si>
    <t>ORD-00016</t>
  </si>
  <si>
    <t>20:00</t>
  </si>
  <si>
    <t>ORD-00017</t>
  </si>
  <si>
    <t>ORD-00018</t>
  </si>
  <si>
    <t>21:55</t>
  </si>
  <si>
    <t>Pasta Arrabbiata</t>
  </si>
  <si>
    <t>ORD-00019</t>
  </si>
  <si>
    <t>ORD-00020</t>
  </si>
  <si>
    <t>17:15</t>
  </si>
  <si>
    <t>ORD-00021</t>
  </si>
  <si>
    <t>18:40</t>
  </si>
  <si>
    <t>ORD-00022</t>
  </si>
  <si>
    <t>14:25</t>
  </si>
  <si>
    <t>Cheesecake</t>
  </si>
  <si>
    <t>ORD-00023</t>
  </si>
  <si>
    <t>13:05</t>
  </si>
  <si>
    <t>ORD-00024</t>
  </si>
  <si>
    <t>21:05</t>
  </si>
  <si>
    <t>Pepperoni Pizza</t>
  </si>
  <si>
    <t>ORD-00025</t>
  </si>
  <si>
    <t>18:10</t>
  </si>
  <si>
    <t>ORD-00026</t>
  </si>
  <si>
    <t>ORD-00027</t>
  </si>
  <si>
    <t>ORD-00028</t>
  </si>
  <si>
    <t>21:10</t>
  </si>
  <si>
    <t>ORD-00029</t>
  </si>
  <si>
    <t>18:30</t>
  </si>
  <si>
    <t>ORD-00030</t>
  </si>
  <si>
    <t>Soup of the Day</t>
  </si>
  <si>
    <t>ORD-00031</t>
  </si>
  <si>
    <t>17:00</t>
  </si>
  <si>
    <t>Ice Cream</t>
  </si>
  <si>
    <t>ORD-00032</t>
  </si>
  <si>
    <t>ORD-00033</t>
  </si>
  <si>
    <t>22:40</t>
  </si>
  <si>
    <t>ORD-00034</t>
  </si>
  <si>
    <t>ORD-00035</t>
  </si>
  <si>
    <t>19:40</t>
  </si>
  <si>
    <t>Soft Drink</t>
  </si>
  <si>
    <t>ORD-00036</t>
  </si>
  <si>
    <t>22:20</t>
  </si>
  <si>
    <t>Grilled Chicken</t>
  </si>
  <si>
    <t>ORD-00037</t>
  </si>
  <si>
    <t>12:40</t>
  </si>
  <si>
    <t>ORD-00038</t>
  </si>
  <si>
    <t>18:50</t>
  </si>
  <si>
    <t>ORD-00039</t>
  </si>
  <si>
    <t>22:10</t>
  </si>
  <si>
    <t>ORD-00040</t>
  </si>
  <si>
    <t>22:15</t>
  </si>
  <si>
    <t>ORD-00041</t>
  </si>
  <si>
    <t>18:15</t>
  </si>
  <si>
    <t>ORD-00042</t>
  </si>
  <si>
    <t>19:25</t>
  </si>
  <si>
    <t>ORD-00043</t>
  </si>
  <si>
    <t>19:10</t>
  </si>
  <si>
    <t>Mocktail</t>
  </si>
  <si>
    <t>ORD-00044</t>
  </si>
  <si>
    <t>ORD-00045</t>
  </si>
  <si>
    <t>15:50</t>
  </si>
  <si>
    <t>ORD-00046</t>
  </si>
  <si>
    <t>Chicken Wings</t>
  </si>
  <si>
    <t>ORD-00047</t>
  </si>
  <si>
    <t>14:50</t>
  </si>
  <si>
    <t>ORD-00048</t>
  </si>
  <si>
    <t>21:50</t>
  </si>
  <si>
    <t>ORD-00049</t>
  </si>
  <si>
    <t>ORD-00050</t>
  </si>
  <si>
    <t>ORD-00051</t>
  </si>
  <si>
    <t>22:45</t>
  </si>
  <si>
    <t>ORD-00052</t>
  </si>
  <si>
    <t>ORD-00053</t>
  </si>
  <si>
    <t>20:50</t>
  </si>
  <si>
    <t>ORD-00054</t>
  </si>
  <si>
    <t>21:35</t>
  </si>
  <si>
    <t>ORD-00055</t>
  </si>
  <si>
    <t>ORD-00056</t>
  </si>
  <si>
    <t>17:10</t>
  </si>
  <si>
    <t>ORD-00057</t>
  </si>
  <si>
    <t>ORD-00058</t>
  </si>
  <si>
    <t>21:30</t>
  </si>
  <si>
    <t>ORD-00059</t>
  </si>
  <si>
    <t>ORD-00060</t>
  </si>
  <si>
    <t>20:10</t>
  </si>
  <si>
    <t>ORD-00061</t>
  </si>
  <si>
    <t>14:10</t>
  </si>
  <si>
    <t>ORD-00062</t>
  </si>
  <si>
    <t>Cancelled</t>
  </si>
  <si>
    <t>ORD-00063</t>
  </si>
  <si>
    <t>11:50</t>
  </si>
  <si>
    <t>ORD-00064</t>
  </si>
  <si>
    <t>21:15</t>
  </si>
  <si>
    <t>ORD-00065</t>
  </si>
  <si>
    <t>18:20</t>
  </si>
  <si>
    <t>ORD-00066</t>
  </si>
  <si>
    <t>12:05</t>
  </si>
  <si>
    <t>ORD-00067</t>
  </si>
  <si>
    <t>ORD-00068</t>
  </si>
  <si>
    <t>ORD-00069</t>
  </si>
  <si>
    <t>ORD-00070</t>
  </si>
  <si>
    <t>14:15</t>
  </si>
  <si>
    <t>ORD-00071</t>
  </si>
  <si>
    <t>18:35</t>
  </si>
  <si>
    <t>ORD-00072</t>
  </si>
  <si>
    <t>18:05</t>
  </si>
  <si>
    <t>ORD-00073</t>
  </si>
  <si>
    <t>20:35</t>
  </si>
  <si>
    <t>ORD-00074</t>
  </si>
  <si>
    <t>19:30</t>
  </si>
  <si>
    <t>ORD-00075</t>
  </si>
  <si>
    <t>12:25</t>
  </si>
  <si>
    <t>ORD-00076</t>
  </si>
  <si>
    <t>ORD-00077</t>
  </si>
  <si>
    <t>11:40</t>
  </si>
  <si>
    <t>ORD-00078</t>
  </si>
  <si>
    <t>20:25</t>
  </si>
  <si>
    <t>ORD-00079</t>
  </si>
  <si>
    <t>17:45</t>
  </si>
  <si>
    <t>ORD-00080</t>
  </si>
  <si>
    <t>ORD-00081</t>
  </si>
  <si>
    <t>ORD-00082</t>
  </si>
  <si>
    <t>ORD-00083</t>
  </si>
  <si>
    <t>ORD-00084</t>
  </si>
  <si>
    <t>ORD-00085</t>
  </si>
  <si>
    <t>21:20</t>
  </si>
  <si>
    <t>ORD-00086</t>
  </si>
  <si>
    <t>21:00</t>
  </si>
  <si>
    <t>ORD-00087</t>
  </si>
  <si>
    <t>21:45</t>
  </si>
  <si>
    <t>ORD-00088</t>
  </si>
  <si>
    <t>20:20</t>
  </si>
  <si>
    <t>ORD-00089</t>
  </si>
  <si>
    <t>ORD-00090</t>
  </si>
  <si>
    <t>ORD-00091</t>
  </si>
  <si>
    <t>17:50</t>
  </si>
  <si>
    <t>ORD-00092</t>
  </si>
  <si>
    <t>ORD-00093</t>
  </si>
  <si>
    <t>15:15</t>
  </si>
  <si>
    <t>ORD-00094</t>
  </si>
  <si>
    <t>ORD-00095</t>
  </si>
  <si>
    <t>20:15</t>
  </si>
  <si>
    <t>ORD-00096</t>
  </si>
  <si>
    <t>ORD-00097</t>
  </si>
  <si>
    <t>20:40</t>
  </si>
  <si>
    <t>ORD-00098</t>
  </si>
  <si>
    <t>18:45</t>
  </si>
  <si>
    <t>ORD-00099</t>
  </si>
  <si>
    <t>20:30</t>
  </si>
  <si>
    <t>ORD-00100</t>
  </si>
  <si>
    <t>14:00</t>
  </si>
  <si>
    <t>ORD-00101</t>
  </si>
  <si>
    <t>ORD-00102</t>
  </si>
  <si>
    <t>ORD-00103</t>
  </si>
  <si>
    <t>ORD-00104</t>
  </si>
  <si>
    <t>ORD-00105</t>
  </si>
  <si>
    <t>15:30</t>
  </si>
  <si>
    <t>ORD-00106</t>
  </si>
  <si>
    <t>11:35</t>
  </si>
  <si>
    <t>ORD-00107</t>
  </si>
  <si>
    <t>ORD-00108</t>
  </si>
  <si>
    <t>15:25</t>
  </si>
  <si>
    <t>ORD-00109</t>
  </si>
  <si>
    <t>ORD-00110</t>
  </si>
  <si>
    <t>19:15</t>
  </si>
  <si>
    <t>ORD-00111</t>
  </si>
  <si>
    <t>22:50</t>
  </si>
  <si>
    <t>ORD-00112</t>
  </si>
  <si>
    <t>ORD-00113</t>
  </si>
  <si>
    <t>ORD-00114</t>
  </si>
  <si>
    <t>ORD-00115</t>
  </si>
  <si>
    <t>ORD-00116</t>
  </si>
  <si>
    <t>12:35</t>
  </si>
  <si>
    <t>ORD-00117</t>
  </si>
  <si>
    <t>ORD-00118</t>
  </si>
  <si>
    <t>15:10</t>
  </si>
  <si>
    <t>ORD-00119</t>
  </si>
  <si>
    <t>ORD-00120</t>
  </si>
  <si>
    <t>ORD-00121</t>
  </si>
  <si>
    <t>ORD-00122</t>
  </si>
  <si>
    <t>ORD-00123</t>
  </si>
  <si>
    <t>18:25</t>
  </si>
  <si>
    <t>ORD-00124</t>
  </si>
  <si>
    <t>ORD-00125</t>
  </si>
  <si>
    <t>13:00</t>
  </si>
  <si>
    <t>ORD-00126</t>
  </si>
  <si>
    <t>ORD-00127</t>
  </si>
  <si>
    <t>11:00</t>
  </si>
  <si>
    <t>ORD-00128</t>
  </si>
  <si>
    <t>ORD-00129</t>
  </si>
  <si>
    <t>21:40</t>
  </si>
  <si>
    <t>ORD-00130</t>
  </si>
  <si>
    <t>ORD-00131</t>
  </si>
  <si>
    <t>ORD-00132</t>
  </si>
  <si>
    <t>13:10</t>
  </si>
  <si>
    <t>ORD-00133</t>
  </si>
  <si>
    <t>ORD-00134</t>
  </si>
  <si>
    <t>ORD-00135</t>
  </si>
  <si>
    <t>ORD-00136</t>
  </si>
  <si>
    <t>19:00</t>
  </si>
  <si>
    <t>ORD-00137</t>
  </si>
  <si>
    <t>17:05</t>
  </si>
  <si>
    <t>ORD-00138</t>
  </si>
  <si>
    <t>ORD-00139</t>
  </si>
  <si>
    <t>ORD-00140</t>
  </si>
  <si>
    <t>ORD-00141</t>
  </si>
  <si>
    <t>ORD-00142</t>
  </si>
  <si>
    <t>22:25</t>
  </si>
  <si>
    <t>ORD-00143</t>
  </si>
  <si>
    <t>19:45</t>
  </si>
  <si>
    <t>ORD-00144</t>
  </si>
  <si>
    <t>15:35</t>
  </si>
  <si>
    <t>ORD-00145</t>
  </si>
  <si>
    <t>ORD-00146</t>
  </si>
  <si>
    <t>ORD-00147</t>
  </si>
  <si>
    <t>22:05</t>
  </si>
  <si>
    <t>ORD-00148</t>
  </si>
  <si>
    <t>ORD-00149</t>
  </si>
  <si>
    <t>ORD-00150</t>
  </si>
  <si>
    <t>ORD-00151</t>
  </si>
  <si>
    <t>14:40</t>
  </si>
  <si>
    <t>ORD-00152</t>
  </si>
  <si>
    <t>18:00</t>
  </si>
  <si>
    <t>ORD-00153</t>
  </si>
  <si>
    <t>13:30</t>
  </si>
  <si>
    <t>ORD-00154</t>
  </si>
  <si>
    <t>ORD-00155</t>
  </si>
  <si>
    <t>ORD-00156</t>
  </si>
  <si>
    <t>ORD-00157</t>
  </si>
  <si>
    <t>ORD-00158</t>
  </si>
  <si>
    <t>ORD-00159</t>
  </si>
  <si>
    <t>13:45</t>
  </si>
  <si>
    <t>ORD-00160</t>
  </si>
  <si>
    <t>17:30</t>
  </si>
  <si>
    <t>ORD-00161</t>
  </si>
  <si>
    <t>ORD-00162</t>
  </si>
  <si>
    <t>ORD-00163</t>
  </si>
  <si>
    <t>ORD-00164</t>
  </si>
  <si>
    <t>ORD-00165</t>
  </si>
  <si>
    <t>ORD-00166</t>
  </si>
  <si>
    <t>ORD-00167</t>
  </si>
  <si>
    <t>ORD-00168</t>
  </si>
  <si>
    <t>ORD-00169</t>
  </si>
  <si>
    <t>14:45</t>
  </si>
  <si>
    <t>ORD-00170</t>
  </si>
  <si>
    <t>ORD-00171</t>
  </si>
  <si>
    <t>ORD-00172</t>
  </si>
  <si>
    <t>ORD-00173</t>
  </si>
  <si>
    <t>13:40</t>
  </si>
  <si>
    <t>ORD-00174</t>
  </si>
  <si>
    <t>17:55</t>
  </si>
  <si>
    <t>ORD-00175</t>
  </si>
  <si>
    <t>ORD-00176</t>
  </si>
  <si>
    <t>ORD-00177</t>
  </si>
  <si>
    <t>ORD-00178</t>
  </si>
  <si>
    <t>ORD-00179</t>
  </si>
  <si>
    <t>15:55</t>
  </si>
  <si>
    <t>ORD-00180</t>
  </si>
  <si>
    <t>11:05</t>
  </si>
  <si>
    <t>ORD-00181</t>
  </si>
  <si>
    <t>ORD-00182</t>
  </si>
  <si>
    <t>ORD-00183</t>
  </si>
  <si>
    <t>13:50</t>
  </si>
  <si>
    <t>ORD-00184</t>
  </si>
  <si>
    <t>13:55</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</si>
  <si>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</si>
  <si>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</si>
  <si>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</si>
  <si>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</si>
  <si>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</si>
  <si>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</si>
  <si>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</si>
  <si>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</si>
  <si>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</si>
  <si>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</si>
  <si>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</si>
  <si>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</si>
  <si>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</si>
  <si>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</si>
  <si>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</si>
  <si>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</si>
  <si>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</si>
  <si>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</si>
  <si>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</si>
  <si>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</si>
  <si>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</si>
  <si>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</si>
  <si>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</si>
  <si>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11:30</t>
  </si>
  <si>
    <t>ORD-00208</t>
  </si>
  <si>
    <t>ORD-00209</t>
  </si>
  <si>
    <t>12:00</t>
  </si>
  <si>
    <t>ORD-00210</t>
  </si>
  <si>
    <t>ORD-00211</t>
  </si>
  <si>
    <t>ORD-00212</t>
  </si>
  <si>
    <t>ORD-00213</t>
  </si>
  <si>
    <t>ORD-00214</t>
  </si>
  <si>
    <t>ORD-00215</t>
  </si>
  <si>
    <t>ORD-00216</t>
  </si>
  <si>
    <t>ORD-00217</t>
  </si>
  <si>
    <t>ORD-00218</t>
  </si>
  <si>
    <t>ORD-00219</t>
  </si>
  <si>
    <t>22:00</t>
  </si>
  <si>
    <t>ORD-00220</t>
  </si>
  <si>
    <t>ORD-00221</t>
  </si>
  <si>
    <t>15:40</t>
  </si>
  <si>
    <t>ORD-00222</t>
  </si>
  <si>
    <t>ORD-00223</t>
  </si>
  <si>
    <t>ORD-00224</t>
  </si>
  <si>
    <t>ORD-00225</t>
  </si>
  <si>
    <t>19:20</t>
  </si>
  <si>
    <t>ORD-00226</t>
  </si>
  <si>
    <t>ORD-00227</t>
  </si>
  <si>
    <t>ORD-00228</t>
  </si>
  <si>
    <t>ORD-00229</t>
  </si>
  <si>
    <t>ORD-00230</t>
  </si>
  <si>
    <t>ORD-00231</t>
  </si>
  <si>
    <t>17:35</t>
  </si>
  <si>
    <t>ORD-00232</t>
  </si>
  <si>
    <t>ORD-00233</t>
  </si>
  <si>
    <t>ORD-00234</t>
  </si>
  <si>
    <t>14:35</t>
  </si>
  <si>
    <t>ORD-00235</t>
  </si>
  <si>
    <t>19:05</t>
  </si>
  <si>
    <t>ORD-00236</t>
  </si>
  <si>
    <t>ORD-00237</t>
  </si>
  <si>
    <t>ORD-00238</t>
  </si>
  <si>
    <t>11:45</t>
  </si>
  <si>
    <t>ORD-00239</t>
  </si>
  <si>
    <t>ORD-00240</t>
  </si>
  <si>
    <t>ORD-00241</t>
  </si>
  <si>
    <t>12:50</t>
  </si>
  <si>
    <t>ORD-00242</t>
  </si>
  <si>
    <t>ORD-00243</t>
  </si>
  <si>
    <t>14:30</t>
  </si>
  <si>
    <t>ORD-00244</t>
  </si>
  <si>
    <t>17:40</t>
  </si>
  <si>
    <t>ORD-00245</t>
  </si>
  <si>
    <t>ORD-00246</t>
  </si>
  <si>
    <t>ORD-00247</t>
  </si>
  <si>
    <t>ORD-00248</t>
  </si>
  <si>
    <t>ORD-00249</t>
  </si>
  <si>
    <t>ORD-00250</t>
  </si>
  <si>
    <t>ORD-00251</t>
  </si>
  <si>
    <t>15:45</t>
  </si>
  <si>
    <t>ORD-00252</t>
  </si>
  <si>
    <t>ORD-00253</t>
  </si>
  <si>
    <t>ORD-00254</t>
  </si>
  <si>
    <t>ORD-00255</t>
  </si>
  <si>
    <t>ORD-00256</t>
  </si>
  <si>
    <t>ORD-00257</t>
  </si>
  <si>
    <t>ORD-00258</t>
  </si>
  <si>
    <t>ORD-00259</t>
  </si>
  <si>
    <t>ORD-00260</t>
  </si>
  <si>
    <t>ORD-00261</t>
  </si>
  <si>
    <t>ORD-00262</t>
  </si>
  <si>
    <t>ORD-00263</t>
  </si>
  <si>
    <t>12:45</t>
  </si>
  <si>
    <t>ORD-00264</t>
  </si>
  <si>
    <t>ORD-00265</t>
  </si>
  <si>
    <t>ORD-00266</t>
  </si>
  <si>
    <t>13:35</t>
  </si>
  <si>
    <t>ORD-00267</t>
  </si>
  <si>
    <t>ORD-00268</t>
  </si>
  <si>
    <t>ORD-00269</t>
  </si>
  <si>
    <t>12:30</t>
  </si>
  <si>
    <t>ORD-00270</t>
  </si>
  <si>
    <t>17:20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</si>
  <si>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</si>
  <si>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</si>
  <si>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</si>
  <si>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</si>
  <si>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</si>
  <si>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</si>
  <si>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</si>
  <si>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</si>
  <si>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</si>
  <si>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</si>
  <si>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</si>
  <si>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</si>
  <si>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</si>
  <si>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</si>
  <si>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</si>
  <si>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</si>
  <si>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18:55</t>
  </si>
  <si>
    <t>ORD-00287</t>
  </si>
  <si>
    <t>ORD-00288</t>
  </si>
  <si>
    <t>ORD-00289</t>
  </si>
  <si>
    <t>ORD-00290</t>
  </si>
  <si>
    <t>ORD-00291</t>
  </si>
  <si>
    <t>ORD-00292</t>
  </si>
  <si>
    <t>ORD-00293</t>
  </si>
  <si>
    <t>ORD-00294</t>
  </si>
  <si>
    <t>ORD-00295</t>
  </si>
  <si>
    <t>ORD-00296</t>
  </si>
  <si>
    <t>ORD-00297</t>
  </si>
  <si>
    <t>11:20</t>
  </si>
  <si>
    <t>ORD-00298</t>
  </si>
  <si>
    <t>ORD-00299</t>
  </si>
  <si>
    <t>ORD-00300</t>
  </si>
  <si>
    <t>ORD-00301</t>
  </si>
  <si>
    <t>13:20</t>
  </si>
  <si>
    <t>ORD-00302</t>
  </si>
  <si>
    <t>ORD-00303</t>
  </si>
  <si>
    <t>ORD-00304</t>
  </si>
  <si>
    <t>ORD-00305</t>
  </si>
  <si>
    <t>ORD-00306</t>
  </si>
  <si>
    <t>13:25</t>
  </si>
  <si>
    <t>ORD-00307</t>
  </si>
  <si>
    <t>ORD-00308</t>
  </si>
  <si>
    <t>ORD-00309</t>
  </si>
  <si>
    <t>ORD-00310</t>
  </si>
  <si>
    <t>ORD-00311</t>
  </si>
  <si>
    <t>ORD-00312</t>
  </si>
  <si>
    <t>ORD-00313</t>
  </si>
  <si>
    <t>ORD-00314</t>
  </si>
  <si>
    <t>ORD-00315</t>
  </si>
  <si>
    <t>ORD-00316</t>
  </si>
  <si>
    <t>ORD-00317</t>
  </si>
  <si>
    <t>11:15</t>
  </si>
  <si>
    <t>ORD-00318</t>
  </si>
  <si>
    <t>ORD-00319</t>
  </si>
  <si>
    <t>ORD-00320</t>
  </si>
  <si>
    <t>ORD-00321</t>
  </si>
  <si>
    <t>ORD-00322</t>
  </si>
  <si>
    <t>14:55</t>
  </si>
  <si>
    <t>ORD-00323</t>
  </si>
  <si>
    <t>ORD-00324</t>
  </si>
  <si>
    <t>ORD-00325</t>
  </si>
  <si>
    <t>17:25</t>
  </si>
  <si>
    <t>ORD-00326</t>
  </si>
  <si>
    <t>ORD-00327</t>
  </si>
  <si>
    <t>ORD-00328</t>
  </si>
  <si>
    <t>ORD-00329</t>
  </si>
  <si>
    <t>ORD-00330</t>
  </si>
  <si>
    <t>ORD-00331</t>
  </si>
  <si>
    <t>ORD-00332</t>
  </si>
  <si>
    <t>ORD-00333</t>
  </si>
  <si>
    <t>ORD-00334</t>
  </si>
  <si>
    <t>ORD-00335</t>
  </si>
  <si>
    <t>ORD-00336</t>
  </si>
  <si>
    <t>ORD-00337</t>
  </si>
  <si>
    <t>20:55</t>
  </si>
  <si>
    <t>ORD-00338</t>
  </si>
  <si>
    <t>ORD-00339</t>
  </si>
  <si>
    <t>ORD-00340</t>
  </si>
  <si>
    <t>ORD-00341</t>
  </si>
  <si>
    <t>ORD-00342</t>
  </si>
  <si>
    <t>12:10</t>
  </si>
  <si>
    <t>ORD-00343</t>
  </si>
  <si>
    <t>ORD-00344</t>
  </si>
  <si>
    <t>ORD-00345</t>
  </si>
  <si>
    <t>ORD-00346</t>
  </si>
  <si>
    <t>ORD-00347</t>
  </si>
  <si>
    <t>ORD-00348</t>
  </si>
  <si>
    <t>21:25</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</si>
  <si>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</si>
  <si>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</si>
  <si>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</si>
  <si>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</si>
  <si>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</si>
  <si>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</si>
  <si>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</si>
  <si>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</si>
  <si>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</si>
  <si>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</si>
  <si>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</si>
  <si>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</si>
  <si>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</si>
  <si>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</si>
  <si>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</si>
  <si>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</si>
  <si>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</si>
  <si>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</si>
  <si>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</si>
  <si>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</si>
  <si>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</si>
  <si>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19:35</t>
  </si>
  <si>
    <t>ORD-00370</t>
  </si>
  <si>
    <t>ORD-00371</t>
  </si>
  <si>
    <t>ORD-00372</t>
  </si>
  <si>
    <t>ORD-00373</t>
  </si>
  <si>
    <t>ORD-00374</t>
  </si>
  <si>
    <t>ORD-00375</t>
  </si>
  <si>
    <t>ORD-00376</t>
  </si>
  <si>
    <t>ORD-00377</t>
  </si>
  <si>
    <t>ORD-00378</t>
  </si>
  <si>
    <t>19:55</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</si>
  <si>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</si>
  <si>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</si>
  <si>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</si>
  <si>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</si>
  <si>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</si>
  <si>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</si>
  <si>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</si>
  <si>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</si>
  <si>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</si>
  <si>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</si>
  <si>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</si>
  <si>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</si>
  <si>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</si>
  <si>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</si>
  <si>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</si>
  <si>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</si>
  <si>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</si>
  <si>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</si>
  <si>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</si>
  <si>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</si>
  <si>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</si>
  <si>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</si>
  <si>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</si>
  <si>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</si>
  <si>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</si>
  <si>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</si>
  <si>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</si>
  <si>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</si>
  <si>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</si>
  <si>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</si>
  <si>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</si>
  <si>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</si>
  <si>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</si>
  <si>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</si>
  <si>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</si>
  <si>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</si>
  <si>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</si>
  <si>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</si>
  <si>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</si>
  <si>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</si>
  <si>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</si>
  <si>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</si>
  <si>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</si>
  <si>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</si>
  <si>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</si>
  <si>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</si>
  <si>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</si>
  <si>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</si>
  <si>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</si>
  <si>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</si>
  <si>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</si>
  <si>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</si>
  <si>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</si>
  <si>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</si>
  <si>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</si>
  <si>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</si>
  <si>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</si>
  <si>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</si>
  <si>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</si>
  <si>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</si>
  <si>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</si>
  <si>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</si>
  <si>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</si>
  <si>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22:55</t>
  </si>
  <si>
    <t>ORD-00442</t>
  </si>
  <si>
    <t>ORD-00443</t>
  </si>
  <si>
    <t>ORD-00444</t>
  </si>
  <si>
    <t>ORD-00445</t>
  </si>
  <si>
    <t>ORD-00446</t>
  </si>
  <si>
    <t>ORD-00447</t>
  </si>
  <si>
    <t>ORD-00448</t>
  </si>
  <si>
    <t>ORD-00449</t>
  </si>
  <si>
    <t>ORD-00450</t>
  </si>
  <si>
    <t>11:10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</si>
  <si>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</si>
  <si>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</si>
  <si>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</si>
  <si>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</si>
  <si>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</si>
  <si>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</si>
  <si>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</si>
  <si>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</si>
  <si>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</si>
  <si>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</si>
  <si>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</si>
  <si>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</si>
  <si>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</si>
  <si>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</si>
  <si>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</si>
  <si>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</si>
  <si>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</si>
  <si>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</si>
  <si>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</si>
  <si>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</si>
  <si>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</si>
  <si>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</si>
  <si>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</si>
  <si>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</si>
  <si>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</si>
  <si>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</si>
  <si>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</si>
  <si>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</si>
  <si>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</si>
  <si>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</si>
  <si>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</si>
  <si>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</si>
  <si>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</si>
  <si>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</si>
  <si>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</si>
  <si>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</si>
  <si>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</si>
  <si>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</si>
  <si>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</si>
  <si>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</si>
  <si>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</si>
  <si>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</si>
  <si>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</si>
  <si>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</si>
  <si>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</si>
  <si>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</si>
  <si>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</si>
  <si>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</si>
  <si>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</si>
  <si>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</si>
  <si>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</si>
  <si>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</si>
  <si>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</si>
  <si>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</si>
  <si>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</si>
  <si>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</si>
  <si>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</si>
  <si>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</si>
  <si>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</si>
  <si>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</si>
  <si>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</si>
  <si>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</si>
  <si>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</si>
  <si>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</si>
  <si>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</si>
  <si>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</si>
  <si>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</si>
  <si>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</si>
  <si>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</si>
  <si>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</si>
  <si>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</si>
  <si>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12:55</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</si>
  <si>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</si>
  <si>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</si>
  <si>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</si>
  <si>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</si>
  <si>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</si>
  <si>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</si>
  <si>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</si>
  <si>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</si>
  <si>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</si>
  <si>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</si>
  <si>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</si>
  <si>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</si>
  <si>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</si>
  <si>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</si>
  <si>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</si>
  <si>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</si>
  <si>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</si>
  <si>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</si>
  <si>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</si>
  <si>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</si>
  <si>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</si>
  <si>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</si>
  <si>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</si>
  <si>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</si>
  <si>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</si>
  <si>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</si>
  <si>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</si>
  <si>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</si>
  <si>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</si>
  <si>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</si>
  <si>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</si>
  <si>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</si>
  <si>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</si>
  <si>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</si>
  <si>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</si>
  <si>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</si>
  <si>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</si>
  <si>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</si>
  <si>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</si>
  <si>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</si>
  <si>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</si>
  <si>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</si>
  <si>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</si>
  <si>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</si>
  <si>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</si>
  <si>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</si>
  <si>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</si>
  <si>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</si>
  <si>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</si>
  <si>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</si>
  <si>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</si>
  <si>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</si>
  <si>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</si>
  <si>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</si>
  <si>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</si>
  <si>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</si>
  <si>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</si>
  <si>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</si>
  <si>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</si>
  <si>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</si>
  <si>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</si>
  <si>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</si>
  <si>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</si>
  <si>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</si>
  <si>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</si>
  <si>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</si>
  <si>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</si>
  <si>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</si>
  <si>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</si>
  <si>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</si>
  <si>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</si>
  <si>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</si>
  <si>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</si>
  <si>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</si>
  <si>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</si>
  <si>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</si>
  <si>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</si>
  <si>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</si>
  <si>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</si>
  <si>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</si>
  <si>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</si>
  <si>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</si>
  <si>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</si>
  <si>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</si>
  <si>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</si>
  <si>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</si>
  <si>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</si>
  <si>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</si>
  <si>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</si>
  <si>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</si>
  <si>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</si>
  <si>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</si>
  <si>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</si>
  <si>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</si>
  <si>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</si>
  <si>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</si>
  <si>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</si>
  <si>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</si>
  <si>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</si>
  <si>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</si>
  <si>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</si>
  <si>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</si>
  <si>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</si>
  <si>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</si>
  <si>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</si>
  <si>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</si>
  <si>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</si>
  <si>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</si>
  <si>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</si>
  <si>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</si>
  <si>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</si>
  <si>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</si>
  <si>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</si>
  <si>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</si>
  <si>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</si>
  <si>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</si>
  <si>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</si>
  <si>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</si>
  <si>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</si>
  <si>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</si>
  <si>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</si>
  <si>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</si>
  <si>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</si>
  <si>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</si>
  <si>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</si>
  <si>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</si>
  <si>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</si>
  <si>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</si>
  <si>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</si>
  <si>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</si>
  <si>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</si>
  <si>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</si>
  <si>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</si>
  <si>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</si>
  <si>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</si>
  <si>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</si>
  <si>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</si>
  <si>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</si>
  <si>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</si>
  <si>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</si>
  <si>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</si>
  <si>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</si>
  <si>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</si>
  <si>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</si>
  <si>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</si>
  <si>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</si>
  <si>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</si>
  <si>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</si>
  <si>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</si>
  <si>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</si>
  <si>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</si>
  <si>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</si>
  <si>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</si>
  <si>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</si>
  <si>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</si>
  <si>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</si>
  <si>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</si>
  <si>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</si>
  <si>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</si>
  <si>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</si>
  <si>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</si>
  <si>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</si>
  <si>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</si>
  <si>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</si>
  <si>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</si>
  <si>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</si>
  <si>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</si>
  <si>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</si>
  <si>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</si>
  <si>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</si>
  <si>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</si>
  <si>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</si>
  <si>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</si>
  <si>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</si>
  <si>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</si>
  <si>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</si>
  <si>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</si>
  <si>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</si>
  <si>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</si>
  <si>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</si>
  <si>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</si>
  <si>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</si>
  <si>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</si>
  <si>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</si>
  <si>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</si>
  <si>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</si>
  <si>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</si>
  <si>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</si>
  <si>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</si>
  <si>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</si>
  <si>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</si>
  <si>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</si>
  <si>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</si>
  <si>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</si>
  <si>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</si>
  <si>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</si>
  <si>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</si>
  <si>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</si>
  <si>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</si>
  <si>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</si>
  <si>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</si>
  <si>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</si>
  <si>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</si>
  <si>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</si>
  <si>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</si>
  <si>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</si>
  <si>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</si>
  <si>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</si>
  <si>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</si>
  <si>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</si>
  <si>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</si>
  <si>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</si>
  <si>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</si>
  <si>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</si>
  <si>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</si>
  <si>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</si>
  <si>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</si>
  <si>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</si>
  <si>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</si>
  <si>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</si>
  <si>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</si>
  <si>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</si>
  <si>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</si>
  <si>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</si>
  <si>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</si>
  <si>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</si>
  <si>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</si>
  <si>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</si>
  <si>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</si>
  <si>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</si>
  <si>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</si>
  <si>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</si>
  <si>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</si>
  <si>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</si>
  <si>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</si>
  <si>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</si>
  <si>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</si>
  <si>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</si>
  <si>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</si>
  <si>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</si>
  <si>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</si>
  <si>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</si>
  <si>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</si>
  <si>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</si>
  <si>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</si>
  <si>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</si>
  <si>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</si>
  <si>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</si>
  <si>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</si>
  <si>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</si>
  <si>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</si>
  <si>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</si>
  <si>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</si>
  <si>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</si>
  <si>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</si>
  <si>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</si>
  <si>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</si>
  <si>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</si>
  <si>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</si>
  <si>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</si>
  <si>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</si>
  <si>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</si>
  <si>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</si>
  <si>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</si>
  <si>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</si>
  <si>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</si>
  <si>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</si>
  <si>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</si>
  <si>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</si>
  <si>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</si>
  <si>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</si>
  <si>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</si>
  <si>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</si>
  <si>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</si>
  <si>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</si>
  <si>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</si>
  <si>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</si>
  <si>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</si>
  <si>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</si>
  <si>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</si>
  <si>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</si>
  <si>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</si>
  <si>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</si>
  <si>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</si>
  <si>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</si>
  <si>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</si>
  <si>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</si>
  <si>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</si>
  <si>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</si>
  <si>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</si>
  <si>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</si>
  <si>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</si>
  <si>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</si>
  <si>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</si>
  <si>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</si>
  <si>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</si>
  <si>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</si>
  <si>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</si>
  <si>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</si>
  <si>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</si>
  <si>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</si>
  <si>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</si>
  <si>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</si>
  <si>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</si>
  <si>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</si>
  <si>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</si>
  <si>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</si>
  <si>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</si>
  <si>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</si>
  <si>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</si>
  <si>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</si>
  <si>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</si>
  <si>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</si>
  <si>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</si>
  <si>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</si>
  <si>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</si>
  <si>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</si>
  <si>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</si>
  <si>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</si>
  <si>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</si>
  <si>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</si>
  <si>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</si>
  <si>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</si>
  <si>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</si>
  <si>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</si>
  <si>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</si>
  <si>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</si>
  <si>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</si>
  <si>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</si>
  <si>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</si>
  <si>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</si>
  <si>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</si>
  <si>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</si>
  <si>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</si>
  <si>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</si>
  <si>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</si>
  <si>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</si>
  <si>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</si>
  <si>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</si>
  <si>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</si>
  <si>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</si>
  <si>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</si>
  <si>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</si>
  <si>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</si>
  <si>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</si>
  <si>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</si>
  <si>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</si>
  <si>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</si>
  <si>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</si>
  <si>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</si>
  <si>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</si>
  <si>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</si>
  <si>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</si>
  <si>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</si>
  <si>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</si>
  <si>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</si>
  <si>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</si>
  <si>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</si>
  <si>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</si>
  <si>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</si>
  <si>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</si>
  <si>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</si>
  <si>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</si>
  <si>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</si>
  <si>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</si>
  <si>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</si>
  <si>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</si>
  <si>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</si>
  <si>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</si>
  <si>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</si>
  <si>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</si>
  <si>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</si>
  <si>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</si>
  <si>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</si>
  <si>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</si>
  <si>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</si>
  <si>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</si>
  <si>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</si>
  <si>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</si>
  <si>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</si>
  <si>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</si>
  <si>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</si>
  <si>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</si>
  <si>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</si>
  <si>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</si>
  <si>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</si>
  <si>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</si>
  <si>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</si>
  <si>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</si>
  <si>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</si>
  <si>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</si>
  <si>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</si>
  <si>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</si>
  <si>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</si>
  <si>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</si>
  <si>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</si>
  <si>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</si>
  <si>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</si>
  <si>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</si>
  <si>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</si>
  <si>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</si>
  <si>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</si>
  <si>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</si>
  <si>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</si>
  <si>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</si>
  <si>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</si>
  <si>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</si>
  <si>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</si>
  <si>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</si>
  <si>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</si>
  <si>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</si>
  <si>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</si>
  <si>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</si>
  <si>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</si>
  <si>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</si>
  <si>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</si>
  <si>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</si>
  <si>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</si>
  <si>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</si>
  <si>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</si>
  <si>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</si>
  <si>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</si>
  <si>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</si>
  <si>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</si>
  <si>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</si>
  <si>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</si>
  <si>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</si>
  <si>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</si>
  <si>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</si>
  <si>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</si>
  <si>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</si>
  <si>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</si>
  <si>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</si>
  <si>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</si>
  <si>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</si>
  <si>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</si>
  <si>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</si>
  <si>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</si>
  <si>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</si>
  <si>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</si>
  <si>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</si>
  <si>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</si>
  <si>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</si>
  <si>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</si>
  <si>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</si>
  <si>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</si>
  <si>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</si>
  <si>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</si>
  <si>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</si>
  <si>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</si>
  <si>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</si>
  <si>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</si>
  <si>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</si>
  <si>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</si>
  <si>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</si>
  <si>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</si>
  <si>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</si>
  <si>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</si>
  <si>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</si>
  <si>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</si>
  <si>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</si>
  <si>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</si>
  <si>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</si>
  <si>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</si>
  <si>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</si>
  <si>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</si>
  <si>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</si>
  <si>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</si>
  <si>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</si>
  <si>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</si>
  <si>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</si>
  <si>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</si>
  <si>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</si>
  <si>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</si>
  <si>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</si>
  <si>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</si>
  <si>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</si>
  <si>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</si>
  <si>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</si>
  <si>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</si>
  <si>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</si>
  <si>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</si>
  <si>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</si>
  <si>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</si>
  <si>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</si>
  <si>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</si>
  <si>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</si>
  <si>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</si>
  <si>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</si>
  <si>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</si>
  <si>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</si>
  <si>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</si>
  <si>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</si>
  <si>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</si>
  <si>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</si>
  <si>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</si>
  <si>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</si>
  <si>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</si>
  <si>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</si>
  <si>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</si>
  <si>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</si>
  <si>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</si>
  <si>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</si>
  <si>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</si>
  <si>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</si>
  <si>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</si>
  <si>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</si>
  <si>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</si>
  <si>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</si>
  <si>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</si>
  <si>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</si>
  <si>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</si>
  <si>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</si>
  <si>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</si>
  <si>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</si>
  <si>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</si>
  <si>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</si>
  <si>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</si>
  <si>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</si>
  <si>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</si>
  <si>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</si>
  <si>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</si>
  <si>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</si>
  <si>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</si>
  <si>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</si>
  <si>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</si>
  <si>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</si>
  <si>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</si>
  <si>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</si>
  <si>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</si>
  <si>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</si>
  <si>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</si>
  <si>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</si>
  <si>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</si>
  <si>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</si>
  <si>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</si>
  <si>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</si>
  <si>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</si>
  <si>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</si>
  <si>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</si>
  <si>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</si>
  <si>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</si>
  <si>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</si>
  <si>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</si>
  <si>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</si>
  <si>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</si>
  <si>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</si>
  <si>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</si>
  <si>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</si>
  <si>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</si>
  <si>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</si>
  <si>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</si>
  <si>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</si>
  <si>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</si>
  <si>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</si>
  <si>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</si>
  <si>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</si>
  <si>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</si>
  <si>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</si>
  <si>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</si>
  <si>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</si>
  <si>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</si>
  <si>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</si>
  <si>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</si>
  <si>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</si>
  <si>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15:05</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</si>
  <si>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</si>
  <si>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</si>
  <si>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</si>
  <si>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</si>
  <si>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</si>
  <si>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</si>
  <si>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</si>
  <si>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</si>
  <si>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</si>
  <si>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</si>
  <si>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</si>
  <si>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</si>
  <si>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</si>
  <si>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</si>
  <si>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</si>
  <si>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</si>
  <si>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</si>
  <si>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</si>
  <si>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</si>
  <si>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</si>
  <si>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</si>
  <si>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</si>
  <si>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</si>
  <si>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</si>
  <si>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</si>
  <si>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</si>
  <si>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</si>
  <si>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</si>
  <si>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</si>
  <si>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</si>
  <si>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</si>
  <si>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</si>
  <si>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</si>
  <si>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</si>
  <si>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</si>
  <si>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</si>
  <si>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</si>
  <si>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</si>
  <si>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</si>
  <si>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</si>
  <si>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</si>
  <si>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</si>
  <si>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</si>
  <si>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</si>
  <si>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</si>
  <si>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</si>
  <si>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</si>
  <si>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</si>
  <si>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</si>
  <si>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</si>
  <si>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</si>
  <si>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</si>
  <si>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</si>
  <si>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</si>
  <si>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</si>
  <si>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</si>
  <si>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</si>
  <si>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</si>
  <si>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</si>
  <si>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</si>
  <si>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</si>
  <si>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</si>
  <si>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</si>
  <si>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</si>
  <si>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</si>
  <si>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</si>
  <si>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</si>
  <si>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</si>
  <si>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</si>
  <si>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</si>
  <si>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</si>
  <si>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</si>
  <si>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</si>
  <si>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</si>
  <si>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</si>
  <si>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</si>
  <si>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</si>
  <si>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</si>
  <si>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</si>
  <si>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</si>
  <si>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</si>
  <si>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</si>
  <si>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</si>
  <si>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</si>
  <si>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</si>
  <si>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</si>
  <si>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</si>
  <si>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</si>
  <si>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</si>
  <si>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</si>
  <si>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</si>
  <si>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</si>
  <si>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</si>
  <si>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</si>
  <si>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</si>
  <si>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</si>
  <si>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</si>
  <si>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</si>
  <si>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</si>
  <si>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</si>
  <si>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</si>
  <si>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</si>
  <si>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</si>
  <si>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</si>
  <si>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</si>
  <si>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</si>
  <si>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</si>
  <si>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</si>
  <si>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</si>
  <si>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</si>
  <si>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</si>
  <si>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</si>
  <si>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</si>
  <si>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</si>
  <si>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</si>
  <si>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</si>
  <si>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</si>
  <si>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</si>
  <si>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</si>
  <si>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</si>
  <si>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</si>
  <si>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</si>
  <si>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</si>
  <si>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</si>
  <si>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</si>
  <si>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</si>
  <si>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</si>
  <si>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</si>
  <si>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</si>
  <si>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</si>
  <si>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</si>
  <si>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</si>
  <si>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</si>
  <si>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</si>
  <si>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</si>
  <si>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</si>
  <si>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</si>
  <si>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</si>
  <si>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</si>
  <si>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</si>
  <si>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</si>
  <si>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</si>
  <si>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</si>
  <si>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</si>
  <si>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</si>
  <si>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</si>
  <si>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</si>
  <si>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</si>
  <si>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</si>
  <si>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</si>
  <si>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</si>
  <si>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</si>
  <si>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</si>
  <si>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</si>
  <si>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</si>
  <si>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</si>
  <si>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</si>
  <si>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</si>
  <si>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</si>
  <si>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</si>
  <si>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</si>
  <si>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</si>
  <si>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</si>
  <si>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</si>
  <si>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</si>
  <si>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</si>
  <si>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</si>
  <si>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</si>
  <si>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</si>
  <si>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</si>
  <si>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</si>
  <si>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</si>
  <si>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</si>
  <si>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</si>
  <si>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</si>
  <si>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</si>
  <si>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</si>
  <si>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</si>
  <si>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</si>
  <si>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</si>
  <si>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</si>
  <si>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</si>
  <si>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</si>
  <si>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</si>
  <si>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</si>
  <si>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</si>
  <si>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</si>
  <si>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</si>
  <si>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</si>
  <si>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</si>
  <si>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</si>
  <si>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</si>
  <si>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</si>
  <si>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</si>
  <si>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</si>
  <si>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</si>
  <si>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</si>
  <si>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</si>
  <si>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</si>
  <si>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</si>
  <si>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</si>
  <si>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</si>
  <si>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</si>
  <si>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</si>
  <si>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</si>
  <si>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</si>
  <si>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</si>
  <si>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</si>
  <si>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</si>
  <si>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</si>
  <si>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</si>
  <si>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</si>
  <si>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</si>
  <si>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</si>
  <si>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</si>
  <si>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</si>
  <si>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</si>
  <si>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</si>
  <si>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</si>
  <si>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</si>
  <si>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</si>
  <si>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</si>
  <si>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</si>
  <si>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</si>
  <si>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</si>
  <si>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</si>
  <si>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</si>
  <si>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</si>
  <si>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</si>
  <si>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</si>
  <si>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</si>
  <si>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</si>
  <si>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</si>
  <si>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</si>
  <si>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</si>
  <si>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</si>
  <si>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</si>
  <si>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</si>
  <si>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</si>
  <si>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</si>
  <si>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</si>
  <si>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</si>
  <si>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</si>
  <si>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</si>
  <si>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</si>
  <si>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</si>
  <si>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</si>
  <si>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</si>
  <si>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</si>
  <si>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</si>
  <si>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</si>
  <si>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</si>
  <si>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</si>
  <si>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</si>
  <si>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</si>
  <si>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</si>
  <si>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</si>
  <si>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</si>
  <si>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</si>
  <si>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</si>
  <si>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</si>
  <si>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</si>
  <si>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</si>
  <si>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</si>
  <si>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</si>
  <si>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</si>
  <si>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</si>
  <si>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</si>
  <si>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</si>
  <si>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</si>
  <si>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</si>
  <si>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</si>
  <si>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</si>
  <si>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</si>
  <si>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</si>
  <si>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</si>
  <si>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</si>
  <si>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</si>
  <si>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</si>
  <si>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</si>
  <si>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</si>
  <si>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</si>
  <si>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</si>
  <si>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</si>
  <si>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</si>
  <si>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</si>
  <si>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</si>
  <si>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</si>
  <si>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</si>
  <si>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</si>
  <si>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</si>
  <si>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</si>
  <si>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</si>
  <si>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</si>
  <si>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</si>
  <si>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</si>
  <si>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</si>
  <si>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</si>
  <si>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</si>
  <si>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</si>
  <si>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</si>
  <si>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</si>
  <si>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</si>
  <si>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</si>
  <si>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</si>
  <si>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</si>
  <si>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</si>
  <si>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</si>
  <si>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</si>
  <si>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</si>
  <si>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</si>
  <si>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</si>
  <si>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</si>
  <si>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</si>
  <si>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</si>
  <si>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</si>
  <si>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</si>
  <si>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</si>
  <si>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</si>
  <si>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</si>
  <si>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</si>
  <si>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</si>
  <si>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</si>
  <si>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</si>
  <si>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</si>
  <si>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</si>
  <si>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</si>
  <si>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</si>
  <si>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</si>
  <si>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</si>
  <si>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</si>
  <si>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</si>
  <si>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</si>
  <si>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</si>
  <si>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</si>
  <si>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</si>
  <si>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</si>
  <si>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</si>
  <si>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</si>
  <si>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</si>
  <si>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</si>
  <si>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</si>
  <si>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</si>
  <si>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</si>
  <si>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</si>
  <si>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</si>
  <si>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</si>
  <si>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</si>
  <si>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</si>
  <si>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</si>
  <si>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</si>
  <si>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</si>
  <si>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</si>
  <si>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</si>
  <si>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</si>
  <si>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</si>
  <si>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</si>
  <si>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</si>
  <si>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</si>
  <si>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</si>
  <si>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</si>
  <si>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</si>
  <si>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</si>
  <si>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</si>
  <si>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</si>
  <si>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</si>
  <si>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</si>
  <si>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</si>
  <si>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</si>
  <si>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</si>
  <si>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</si>
  <si>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</si>
  <si>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</si>
  <si>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</si>
  <si>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</si>
  <si>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</si>
  <si>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</si>
  <si>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</si>
  <si>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</si>
  <si>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</si>
  <si>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</si>
  <si>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</si>
  <si>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</si>
  <si>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</si>
  <si>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</si>
  <si>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</si>
  <si>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</si>
  <si>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</si>
  <si>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</si>
  <si>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</si>
  <si>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</si>
  <si>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</si>
  <si>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</si>
  <si>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</si>
  <si>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</si>
  <si>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</si>
  <si>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</si>
  <si>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</si>
  <si>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</si>
  <si>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</si>
  <si>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</si>
  <si>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</si>
  <si>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</si>
  <si>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</si>
  <si>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</si>
  <si>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</si>
  <si>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</si>
  <si>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</si>
  <si>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</si>
  <si>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</si>
  <si>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</si>
  <si>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</si>
  <si>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</si>
  <si>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</si>
  <si>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Column</t>
  </si>
  <si>
    <t>Meaning</t>
  </si>
  <si>
    <t>Unique synthetic order identifier</t>
  </si>
  <si>
    <t>Order date</t>
  </si>
  <si>
    <t>Order time (24-hour format)</t>
  </si>
  <si>
    <t>Lunch or Dinner</t>
  </si>
  <si>
    <t>Synthetic menu item ordered</t>
  </si>
  <si>
    <t>Starter, Main, Dessert, or Drink</t>
  </si>
  <si>
    <t>Number of units ordered</t>
  </si>
  <si>
    <t>Price per item in GBP</t>
  </si>
  <si>
    <t>Quantity × unit price; cancelled = £0; refunded = negative</t>
  </si>
  <si>
    <t>Card, Contactless, Cash, or Mobile Wallet</t>
  </si>
  <si>
    <t>Synthetic table number</t>
  </si>
  <si>
    <t>Synthetic wait time from order to service</t>
  </si>
  <si>
    <t>Completed, Cancelled, or Refunded</t>
  </si>
  <si>
    <t>UK Restaurant Sales &amp; KPI Dashboard — Portfolio Project</t>
  </si>
  <si>
    <t>Purpose</t>
  </si>
  <si>
    <t>Build an end-to-end Excel → SQL → Power BI portfolio project using synthetic restaurant data.</t>
  </si>
  <si>
    <t>Important</t>
  </si>
  <si>
    <t>This dataset is fully synthetic. Do not represent it as real employer/customer data.</t>
  </si>
  <si>
    <t>Business Questions</t>
  </si>
  <si>
    <t>1. What are total revenue, total orders and average order value?</t>
  </si>
  <si>
    <t>2. Which menu items and categories generate the most revenue?</t>
  </si>
  <si>
    <t>3. Which days and hours are busiest?</t>
  </si>
  <si>
    <t>4. How do Lunch and Dinner shifts compare?</t>
  </si>
  <si>
    <t>5. What is the average wait time and where are delays highest?</t>
  </si>
  <si>
    <t>6. What percentage of orders are cancelled or refunded?</t>
  </si>
  <si>
    <t>Suggested Power BI KPIs</t>
  </si>
  <si>
    <t>Revenue; Orders; Average Order Value; Items Sold; Avg Wait Time; Cancellation/Refund Rate.</t>
  </si>
  <si>
    <t>Suggested Visuals</t>
  </si>
  <si>
    <t>Monthly revenue trend; sales by category; top 10 items; sales by hour; shift comparison; payment method; wait-time trend.</t>
  </si>
  <si>
    <t>Next Step</t>
  </si>
  <si>
    <t>Start by checking duplicates, blanks, data types, unusual values and status logic in Excel.</t>
  </si>
  <si>
    <t>Expected _Sales_GBP</t>
  </si>
  <si>
    <t>Validation_Status</t>
  </si>
  <si>
    <t>Sum of Total_Sales_GBP</t>
  </si>
  <si>
    <t>Net revenue</t>
  </si>
  <si>
    <t>Total Orders</t>
  </si>
  <si>
    <t>Average Order Value</t>
  </si>
  <si>
    <t>Average Wait Time (Min)</t>
  </si>
  <si>
    <t>Refund rate</t>
  </si>
  <si>
    <t>Cancellation Rate</t>
  </si>
  <si>
    <t>Row Labels</t>
  </si>
  <si>
    <t>Grand Total</t>
  </si>
  <si>
    <t>Jan</t>
  </si>
  <si>
    <t>Feb</t>
  </si>
  <si>
    <t>Mar</t>
  </si>
  <si>
    <t>Apr</t>
  </si>
  <si>
    <t>May</t>
  </si>
  <si>
    <t>Jun</t>
  </si>
  <si>
    <t>Jul</t>
  </si>
  <si>
    <t>Aug</t>
  </si>
  <si>
    <t>Sep</t>
  </si>
  <si>
    <t>Average of Wait_Time_Minutes</t>
  </si>
  <si>
    <t>UK RESTAURANT SALES &amp; PERFORMANCE DASHBOARD</t>
  </si>
  <si>
    <t xml:space="preserve">TOTAL SALES </t>
  </si>
  <si>
    <t>TOTAL ORDERS</t>
  </si>
  <si>
    <t>Count of Order_ID</t>
  </si>
  <si>
    <t>AVG WAIT TIME (MIN)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</si>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</sst>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yyyy\-mm\-dd"/>
    <numFmt numFmtId="165" formatCode="\£0.00"/>
    <numFmt numFmtId="166" formatCode="&quot;£&quot;#,##0.00"/>
    <numFmt numFmtId="167" formatCode="0.0%"/>
  </numFmts>
  <fonts count="9">
    <font>
      <sz val="11"/>
      <name val="Carlito"/>
    </font>
    <font>
      <b/>
      <sz val="11"/>
      <color rgb="FFFFFFFF"/>
      <name val="Carlito"/>
    </font>
    <font>
      <b/>
      <sz val="14"/>
      <color rgb="FFFFFFFF"/>
      <name val="Carlito"/>
    </font>
    <font>
      <b/>
      <sz val="11"/>
      <name val="Carlito"/>
    </font>
    <font>
      <sz val="11"/>
      <name val="Carlito"/>
    </font>
    <font>
      <b/>
      <sz val="11"/>
      <color theme="0"/>
      <name val="Carlito"/>
    </font>
    <font>
      <b/>
      <sz val="12"/>
      <color theme="0"/>
      <name val="Carlito"/>
    </font>
    <font>
      <b/>
      <sz val="18"/>
      <color theme="0"/>
      <name val="Carlito"/>
    </font>
    <font>
      <b/>
      <sz val="16"/>
      <color theme="4"/>
      <name val="Carlito"/>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theme="4"/>
        <bgColor indexed="64"/>
      </patternFill>
    </fill>
  </fills>
  <borders count="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s>
  <cellStyleXfs count="2">
    <xf numFmtId="0" fontId="0" fillId="0" borderId="0"/>
    <xf numFmtId="9" fontId="4" fillId="0" borderId="0" applyFont="0" applyFill="0" applyBorder="0" applyAlignment="0" applyProtection="0"/>
  </cellStyleXfs>
  <cellXfs count="23">
    <xf numFmtId="0" fontId="0" fillId="0" borderId="0" xfId="0"/>
    <xf numFmtId="0" fontId="1" fillId="2" borderId="0" xfId="0" applyFont="1" applyFill="1" applyAlignment="1">
      <alignment horizontal="center" vertical="center"/>
    </xf>
    <xf numFmtId="164" fontId="0" fillId="0" borderId="0" xfId="0" applyNumberFormat="1"/>
    <xf numFmtId="165" fontId="0" fillId="0" borderId="0" xfId="0" applyNumberFormat="1"/>
    <xf numFmtId="0" fontId="1" fillId="2" borderId="0" xfId="0" applyFont="1" applyFill="1" applyAlignment="1">
      <alignment horizontal="center" vertical="center" wrapText="1"/>
    </xf>
    <xf numFmtId="0" fontId="3" fillId="3" borderId="0" xfId="0" applyFont="1" applyFill="1" applyAlignment="1">
      <alignment wrapText="1"/>
    </xf>
    <xf numFmtId="0" fontId="0" fillId="0" borderId="0" xfId="0" applyAlignment="1">
      <alignment wrapText="1"/>
    </xf>
    <xf numFmtId="166" fontId="0" fillId="0" borderId="0" xfId="0" applyNumberFormat="1"/>
    <xf numFmtId="2" fontId="0" fillId="0" borderId="0" xfId="0" applyNumberFormat="1"/>
    <xf numFmtId="167" fontId="0" fillId="0" borderId="0" xfId="1" applyNumberFormat="1" applyFont="1"/>
    <xf numFmtId="0" fontId="0" fillId="0" borderId="0" xfId="0" pivotButton="1"/>
    <xf numFmtId="0" fontId="0" fillId="0" borderId="0" xfId="0" applyAlignment="1">
      <alignment horizontal="left"/>
    </xf>
    <xf numFmtId="0" fontId="6" fillId="4" borderId="1" xfId="0" applyFont="1" applyFill="1" applyBorder="1"/>
    <xf numFmtId="8" fontId="7" fillId="4" borderId="2" xfId="0" applyNumberFormat="1" applyFont="1" applyFill="1" applyBorder="1" applyAlignment="1">
      <alignment horizontal="left"/>
    </xf>
    <xf numFmtId="0" fontId="6" fillId="4" borderId="3" xfId="0" applyFont="1" applyFill="1" applyBorder="1"/>
    <xf numFmtId="0" fontId="6" fillId="4" borderId="4" xfId="0" applyFont="1" applyFill="1" applyBorder="1"/>
    <xf numFmtId="3" fontId="7" fillId="4" borderId="5" xfId="0" applyNumberFormat="1" applyFont="1" applyFill="1" applyBorder="1"/>
    <xf numFmtId="0" fontId="7" fillId="4" borderId="6" xfId="0" applyFont="1" applyFill="1" applyBorder="1"/>
    <xf numFmtId="0" fontId="6" fillId="4" borderId="1" xfId="0" applyFont="1" applyFill="1" applyBorder="1" applyAlignment="1">
      <alignment horizontal="center"/>
    </xf>
    <xf numFmtId="2" fontId="7" fillId="4" borderId="7" xfId="0" applyNumberFormat="1" applyFont="1" applyFill="1" applyBorder="1" applyAlignment="1">
      <alignment horizontal="center"/>
    </xf>
    <xf numFmtId="0" fontId="5" fillId="4" borderId="2" xfId="0" applyFont="1" applyFill="1" applyBorder="1"/>
    <xf numFmtId="0" fontId="8" fillId="0" borderId="0" xfId="0" applyFont="1"/>
    <xf numFmtId="0" fontId="2" fillId="2" borderId="0" xfId="0" applyFont="1" applyFill="1" applyAlignment="1">
      <alignment horizontal="center" vertical="center" wrapText="1"/>
    </xf>
  </cellXfs>
  <cellStyles count="2">
    <cellStyle name="Normal" xfId="0" builtinId="0"/>
    <cellStyle name="Percent" xfId="1" builtinId="5"/>
  </cellStyles>
  <dxfs count="3">
    <dxf>
      <font>
        <color rgb="FF9C0006"/>
      </font>
      <fill>
        <patternFill>
          <bgColor rgb="FFFFC7CE"/>
        </patternFill>
      </fil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[Ankitha_Devarapalli_UK_Restaurant_Sales_Dashboard.xlsx]Sales_by_shift!PivotTable2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SHIFT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Sales_by_shift!$B$3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Sales_by_shift!$A$4:$A$6</c:f>
              <c:strCache>
                <c:ptCount val="2"/>
                <c:pt idx="0">
                  <c:v>Dinner</c:v>
                </c:pt>
                <c:pt idx="1">
                  <c:v>Lunch</c:v>
                </c:pt>
              </c:strCache>
            </c:strRef>
          </c:cat>
          <c:val>
            <c:numRef>
              <c:f>Sales_by_shift!$B$4:$B$6</c:f>
              <c:numCache>
                <c:formatCode>\£0.00</c:formatCode>
                <c:ptCount val="2"/>
                <c:pt idx="0">
                  <c:v>11744.250000000009</c:v>
                </c:pt>
                <c:pt idx="1">
                  <c:v>7265.0999999999849</c:v>
                </c:pt>
              </c:numCache>
            </c:numRef>
          </c:val>
          <c:extLst>
            <c:ext xmlns:c16="http://schemas.microsoft.com/office/drawing/2014/chart" uri="{C3380CC4-5D6E-409C-BE32-E72D297353CC}">
              <c16:uniqueId val="{00000000-DC60-4B26-AF15-6B03733E5AEC}"/>
            </c:ext>
          </c:extLst>
        </c:ser>
        <c:dLbls>
          <c:dLblPos val="outEnd"/>
          <c:showLegendKey val="0"/>
          <c:showVal val="1"/>
          <c:showCatName val="0"/>
          <c:showSerName val="0"/>
          <c:showPercent val="0"/>
          <c:showBubbleSize val="0"/>
        </c:dLbls>
        <c:gapWidth val="219"/>
        <c:overlap val="-27"/>
        <c:axId val="1282350303"/>
        <c:axId val="317429903"/>
      </c:barChart>
      <c:catAx>
        <c:axId val="128235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429903"/>
        <c:crosses val="autoZero"/>
        <c:auto val="1"/>
        <c:lblAlgn val="ctr"/>
        <c:lblOffset val="100"/>
        <c:noMultiLvlLbl val="0"/>
      </c:catAx>
      <c:valAx>
        <c:axId val="3174299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35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[Ankitha_Devarapalli_UK_Restaurant_Sales_Dashboard.xlsx]Sales_by_payment_method!PivotTable4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72216561934995"/>
          <c:y val="0.26328484981044037"/>
          <c:w val="0.69500126620298119"/>
          <c:h val="0.53774387576552929"/>
        </c:manualLayout>
      </c:layout>
      <c:barChart>
        <c:barDir val="col"/>
        <c:grouping val="clustered"/>
        <c:varyColors val="0"/>
        <c:ser>
          <c:idx val="0"/>
          <c:order val="0"/>
          <c:tx>
            <c:strRef>
              <c:f>Sales_by_payment_method!$B$3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Sales_by_payment_method!$A$4:$A$8</c:f>
              <c:strCache>
                <c:ptCount val="4"/>
                <c:pt idx="0">
                  <c:v>Card</c:v>
                </c:pt>
                <c:pt idx="1">
                  <c:v>Cash</c:v>
                </c:pt>
                <c:pt idx="2">
                  <c:v>Contactless</c:v>
                </c:pt>
                <c:pt idx="3">
                  <c:v>Mobile Wallet</c:v>
                </c:pt>
              </c:strCache>
            </c:strRef>
          </c:cat>
          <c:val>
            <c:numRef>
              <c:f>Sales_by_payment_method!$B$4:$B$8</c:f>
              <c:numCache>
                <c:formatCode>\£0.00</c:formatCode>
                <c:ptCount val="4"/>
                <c:pt idx="0">
                  <c:v>6806.4999999999864</c:v>
                </c:pt>
                <c:pt idx="1">
                  <c:v>2217.6500000000005</c:v>
                </c:pt>
                <c:pt idx="2">
                  <c:v>7360.2999999999911</c:v>
                </c:pt>
                <c:pt idx="3">
                  <c:v>2624.9000000000005</c:v>
                </c:pt>
              </c:numCache>
            </c:numRef>
          </c:val>
          <c:extLst>
            <c:ext xmlns:c16="http://schemas.microsoft.com/office/drawing/2014/chart" uri="{C3380CC4-5D6E-409C-BE32-E72D297353CC}">
              <c16:uniqueId val="{00000000-0FFA-480D-9723-FE76E95429CD}"/>
            </c:ext>
          </c:extLst>
        </c:ser>
        <c:dLbls>
          <c:dLblPos val="outEnd"/>
          <c:showLegendKey val="0"/>
          <c:showVal val="1"/>
          <c:showCatName val="0"/>
          <c:showSerName val="0"/>
          <c:showPercent val="0"/>
          <c:showBubbleSize val="0"/>
        </c:dLbls>
        <c:gapWidth val="219"/>
        <c:overlap val="-27"/>
        <c:axId val="1266608255"/>
        <c:axId val="317578223"/>
      </c:barChart>
      <c:catAx>
        <c:axId val="126660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578223"/>
        <c:crosses val="autoZero"/>
        <c:auto val="1"/>
        <c:lblAlgn val="ctr"/>
        <c:lblOffset val="100"/>
        <c:noMultiLvlLbl val="0"/>
      </c:catAx>
      <c:valAx>
        <c:axId val="3175782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60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[Ankitha_Devarapalli_UK_Restaurant_Sales_Dashboard.xlsx]Top_5_Menu_Items!PivotTable5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MENU ITEMS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Top_5_Menu_Items!$B$3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Top_5_Menu_Items!$A$4:$A$9</c:f>
              <c:strCache>
                <c:ptCount val="5"/>
                <c:pt idx="0">
                  <c:v>Fish &amp; Chips</c:v>
                </c:pt>
                <c:pt idx="1">
                  <c:v>Grilled Chicken</c:v>
                </c:pt>
                <c:pt idx="2">
                  <c:v>Veggie Burger</c:v>
                </c:pt>
                <c:pt idx="3">
                  <c:v>Pepperoni Pizza</c:v>
                </c:pt>
                <c:pt idx="4">
                  <c:v>Pasta Arrabbiata</c:v>
                </c:pt>
              </c:strCache>
            </c:strRef>
          </c:cat>
          <c:val>
            <c:numRef>
              <c:f>Top_5_Menu_Items!$B$4:$B$9</c:f>
              <c:numCache>
                <c:formatCode>\£0.00</c:formatCode>
                <c:ptCount val="5"/>
                <c:pt idx="0">
                  <c:v>2102.5</c:v>
                </c:pt>
                <c:pt idx="1">
                  <c:v>1977.8000000000018</c:v>
                </c:pt>
                <c:pt idx="2">
                  <c:v>1637.1500000000015</c:v>
                </c:pt>
                <c:pt idx="3">
                  <c:v>1606.5</c:v>
                </c:pt>
                <c:pt idx="4">
                  <c:v>1262.5</c:v>
                </c:pt>
              </c:numCache>
            </c:numRef>
          </c:val>
          <c:extLst>
            <c:ext xmlns:c16="http://schemas.microsoft.com/office/drawing/2014/chart" uri="{C3380CC4-5D6E-409C-BE32-E72D297353CC}">
              <c16:uniqueId val="{00000000-166E-44DF-B48A-5203EB801FCE}"/>
            </c:ext>
          </c:extLst>
        </c:ser>
        <c:dLbls>
          <c:dLblPos val="outEnd"/>
          <c:showLegendKey val="0"/>
          <c:showVal val="1"/>
          <c:showCatName val="0"/>
          <c:showSerName val="0"/>
          <c:showPercent val="0"/>
          <c:showBubbleSize val="0"/>
        </c:dLbls>
        <c:gapWidth val="219"/>
        <c:overlap val="-27"/>
        <c:axId val="1093650495"/>
        <c:axId val="317474543"/>
      </c:barChart>
      <c:catAx>
        <c:axId val="109365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474543"/>
        <c:crosses val="autoZero"/>
        <c:auto val="1"/>
        <c:lblAlgn val="ctr"/>
        <c:lblOffset val="100"/>
        <c:noMultiLvlLbl val="0"/>
      </c:catAx>
      <c:valAx>
        <c:axId val="3174745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65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[Ankitha_Devarapalli_UK_Restaurant_Sales_Dashboard.xlsx]Sales_by_Category+graph!PivotTable1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'Sales_by_Category+graph'!$B$3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'Sales_by_Category+graph'!$A$4:$A$8</c:f>
              <c:strCache>
                <c:ptCount val="4"/>
                <c:pt idx="0">
                  <c:v>Dessert</c:v>
                </c:pt>
                <c:pt idx="1">
                  <c:v>Drink</c:v>
                </c:pt>
                <c:pt idx="2">
                  <c:v>Main</c:v>
                </c:pt>
                <c:pt idx="3">
                  <c:v>Starter</c:v>
                </c:pt>
              </c:strCache>
            </c:strRef>
          </c:cat>
          <c:val>
            <c:numRef>
              <c:f>'Sales_by_Category+graph'!$B$4:$B$8</c:f>
              <c:numCache>
                <c:formatCode>\£0.00</c:formatCode>
                <c:ptCount val="4"/>
                <c:pt idx="0">
                  <c:v>2085.550000000002</c:v>
                </c:pt>
                <c:pt idx="1">
                  <c:v>2041.0999999999979</c:v>
                </c:pt>
                <c:pt idx="2">
                  <c:v>11853.100000000009</c:v>
                </c:pt>
                <c:pt idx="3">
                  <c:v>3029.5999999999995</c:v>
                </c:pt>
              </c:numCache>
            </c:numRef>
          </c:val>
          <c:extLst>
            <c:ext xmlns:c16="http://schemas.microsoft.com/office/drawing/2014/chart" uri="{C3380CC4-5D6E-409C-BE32-E72D297353CC}">
              <c16:uniqueId val="{00000000-4D4F-42ED-934E-BCF131B12A09}"/>
            </c:ext>
          </c:extLst>
        </c:ser>
        <c:dLbls>
          <c:dLblPos val="outEnd"/>
          <c:showLegendKey val="0"/>
          <c:showVal val="1"/>
          <c:showCatName val="0"/>
          <c:showSerName val="0"/>
          <c:showPercent val="0"/>
          <c:showBubbleSize val="0"/>
        </c:dLbls>
        <c:gapWidth val="219"/>
        <c:overlap val="-27"/>
        <c:axId val="73011519"/>
        <c:axId val="73012959"/>
      </c:barChart>
      <c:catAx>
        <c:axId val="7301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12959"/>
        <c:crosses val="autoZero"/>
        <c:auto val="1"/>
        <c:lblAlgn val="ctr"/>
        <c:lblOffset val="100"/>
        <c:noMultiLvlLbl val="0"/>
      </c:catAx>
      <c:valAx>
        <c:axId val="730129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1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[Ankitha_Devarapalli_UK_Restaurant_Sales_Dashboard.xlsx]Sales_by_Order_Status!PivotTable2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ORDER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Sales_by_Order_Status!$B$3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Sales_by_Order_Status!$A$4:$A$7</c:f>
              <c:strCache>
                <c:ptCount val="3"/>
                <c:pt idx="0">
                  <c:v>Cancelled</c:v>
                </c:pt>
                <c:pt idx="1">
                  <c:v>Completed</c:v>
                </c:pt>
                <c:pt idx="2">
                  <c:v>Refunded</c:v>
                </c:pt>
              </c:strCache>
            </c:strRef>
          </c:cat>
          <c:val>
            <c:numRef>
              <c:f>Sales_by_Order_Status!$B$4:$B$7</c:f>
              <c:numCache>
                <c:formatCode>\£0.00</c:formatCode>
                <c:ptCount val="3"/>
                <c:pt idx="0">
                  <c:v>0</c:v>
                </c:pt>
                <c:pt idx="1">
                  <c:v>19649.150000000078</c:v>
                </c:pt>
                <c:pt idx="2">
                  <c:v>-639.80000000000007</c:v>
                </c:pt>
              </c:numCache>
            </c:numRef>
          </c:val>
          <c:extLst>
            <c:ext xmlns:c16="http://schemas.microsoft.com/office/drawing/2014/chart" uri="{C3380CC4-5D6E-409C-BE32-E72D297353CC}">
              <c16:uniqueId val="{00000000-B079-4CD3-9855-1A4565E2DD4D}"/>
            </c:ext>
          </c:extLst>
        </c:ser>
        <c:dLbls>
          <c:dLblPos val="outEnd"/>
          <c:showLegendKey val="0"/>
          <c:showVal val="1"/>
          <c:showCatName val="0"/>
          <c:showSerName val="0"/>
          <c:showPercent val="0"/>
          <c:showBubbleSize val="0"/>
        </c:dLbls>
        <c:gapWidth val="219"/>
        <c:overlap val="-27"/>
        <c:axId val="72995679"/>
        <c:axId val="73004799"/>
      </c:barChart>
      <c:catAx>
        <c:axId val="7299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04799"/>
        <c:crosses val="autoZero"/>
        <c:auto val="1"/>
        <c:lblAlgn val="ctr"/>
        <c:lblOffset val="100"/>
        <c:noMultiLvlLbl val="0"/>
      </c:catAx>
      <c:valAx>
        <c:axId val="73004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9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[Ankitha_Devarapalli_UK_Restaurant_Sales_Dashboard.xlsx]Monthly_sales_Trend!PivotTable3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Monthly_sales_Trend!$B$3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Monthly_sales_Trend!$A$4:$A$13</c:f>
              <c:strCache>
                <c:ptCount val="9"/>
                <c:pt idx="0">
                  <c:v>Jan</c:v>
                </c:pt>
                <c:pt idx="1">
                  <c:v>Feb</c:v>
                </c:pt>
                <c:pt idx="2">
                  <c:v>Mar</c:v>
                </c:pt>
                <c:pt idx="3">
                  <c:v>Apr</c:v>
                </c:pt>
                <c:pt idx="4">
                  <c:v>May</c:v>
                </c:pt>
                <c:pt idx="5">
                  <c:v>Jun</c:v>
                </c:pt>
                <c:pt idx="6">
                  <c:v>Jul</c:v>
                </c:pt>
                <c:pt idx="7">
                  <c:v>Aug</c:v>
                </c:pt>
                <c:pt idx="8">
                  <c:v>Sep</c:v>
                </c:pt>
              </c:strCache>
            </c:strRef>
          </c:cat>
          <c:val>
            <c:numRef>
              <c:f>Monthly_sales_Trend!$B$4:$B$13</c:f>
              <c:numCache>
                <c:formatCode>\£0.00</c:formatCode>
                <c:ptCount val="9"/>
                <c:pt idx="0">
                  <c:v>1898.2500000000005</c:v>
                </c:pt>
                <c:pt idx="1">
                  <c:v>2180.2500000000005</c:v>
                </c:pt>
                <c:pt idx="2">
                  <c:v>2062.7000000000012</c:v>
                </c:pt>
                <c:pt idx="3">
                  <c:v>2123.9000000000005</c:v>
                </c:pt>
                <c:pt idx="4">
                  <c:v>2090.5000000000023</c:v>
                </c:pt>
                <c:pt idx="5">
                  <c:v>2395.5000000000005</c:v>
                </c:pt>
                <c:pt idx="6">
                  <c:v>2045.0000000000009</c:v>
                </c:pt>
                <c:pt idx="7">
                  <c:v>2135.8500000000008</c:v>
                </c:pt>
                <c:pt idx="8">
                  <c:v>2077.4000000000015</c:v>
                </c:pt>
              </c:numCache>
            </c:numRef>
          </c:val>
          <c:smooth val="0"/>
          <c:extLst>
            <c:ext xmlns:c16="http://schemas.microsoft.com/office/drawing/2014/chart" uri="{C3380CC4-5D6E-409C-BE32-E72D297353CC}">
              <c16:uniqueId val="{00000000-214A-4B67-91F5-7D6441C50BE7}"/>
            </c:ext>
          </c:extLst>
        </c:ser>
        <c:dLbls>
          <c:showLegendKey val="0"/>
          <c:showVal val="1"/>
          <c:showCatName val="0"/>
          <c:showSerName val="0"/>
          <c:showPercent val="0"/>
          <c:showBubbleSize val="0"/>
        </c:dLbls>
        <c:smooth val="0"/>
        <c:axId val="1904609439"/>
        <c:axId val="1904609919"/>
      </c:lineChart>
      <c:catAx>
        <c:axId val="190460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609919"/>
        <c:crosses val="autoZero"/>
        <c:auto val="1"/>
        <c:lblAlgn val="ctr"/>
        <c:lblOffset val="100"/>
        <c:noMultiLvlLbl val="0"/>
      </c:catAx>
      <c:valAx>
        <c:axId val="19046099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60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[Ankitha_Devarapalli_UK_Restaurant_Sales_Dashboard.xlsx]AVG_Wait_Time_by_Shift!PivotTable6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WAIT TIME BY SHIFT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AVG_Wait_Time_by_Shift!$B$3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AVG_Wait_Time_by_Shift!$A$4:$A$6</c:f>
              <c:strCache>
                <c:ptCount val="2"/>
                <c:pt idx="0">
                  <c:v>Dinner</c:v>
                </c:pt>
                <c:pt idx="1">
                  <c:v>Lunch</c:v>
                </c:pt>
              </c:strCache>
            </c:strRef>
          </c:cat>
          <c:val>
            <c:numRef>
              <c:f>AVG_Wait_Time_by_Shift!$B$4:$B$6</c:f>
              <c:numCache>
                <c:formatCode>0.00</c:formatCode>
                <c:ptCount val="2"/>
                <c:pt idx="0">
                  <c:v>17.990374331550804</c:v>
                </c:pt>
                <c:pt idx="1">
                  <c:v>14.157522123893806</c:v>
                </c:pt>
              </c:numCache>
            </c:numRef>
          </c:val>
          <c:extLst>
            <c:ext xmlns:c16="http://schemas.microsoft.com/office/drawing/2014/chart" uri="{C3380CC4-5D6E-409C-BE32-E72D297353CC}">
              <c16:uniqueId val="{00000000-8B1C-43B2-AA9F-B03C747E594D}"/>
            </c:ext>
          </c:extLst>
        </c:ser>
        <c:dLbls>
          <c:dLblPos val="outEnd"/>
          <c:showLegendKey val="0"/>
          <c:showVal val="1"/>
          <c:showCatName val="0"/>
          <c:showSerName val="0"/>
          <c:showPercent val="0"/>
          <c:showBubbleSize val="0"/>
        </c:dLbls>
        <c:gapWidth val="219"/>
        <c:overlap val="-27"/>
        <c:axId val="366586559"/>
        <c:axId val="366578879"/>
      </c:barChart>
      <c:catAx>
        <c:axId val="36658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578879"/>
        <c:crosses val="autoZero"/>
        <c:auto val="1"/>
        <c:lblAlgn val="ctr"/>
        <c:lblOffset val="100"/>
        <c:noMultiLvlLbl val="0"/>
      </c:catAx>
      <c:valAx>
        <c:axId val="3665788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58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[Ankitha_Devarapalli_UK_Restaurant_Sales_Dashboard.xlsx]Monthly_sales_Trend!PivotTable3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32604035182626"/>
          <c:y val="0.12173843151119686"/>
          <c:w val="0.84722866702730859"/>
          <c:h val="0.80211919249560126"/>
        </c:manualLayout>
      </c:layout>
      <c:lineChart>
        <c:grouping val="standard"/>
        <c:varyColors val="0"/>
        <c:ser>
          <c:idx val="0"/>
          <c:order val="0"/>
          <c:tx>
            <c:strRef>
              <c:f>Monthly_sales_Trend!$B$3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Monthly_sales_Trend!$A$4:$A$13</c:f>
              <c:strCache>
                <c:ptCount val="9"/>
                <c:pt idx="0">
                  <c:v>Jan</c:v>
                </c:pt>
                <c:pt idx="1">
                  <c:v>Feb</c:v>
                </c:pt>
                <c:pt idx="2">
                  <c:v>Mar</c:v>
                </c:pt>
                <c:pt idx="3">
                  <c:v>Apr</c:v>
                </c:pt>
                <c:pt idx="4">
                  <c:v>May</c:v>
                </c:pt>
                <c:pt idx="5">
                  <c:v>Jun</c:v>
                </c:pt>
                <c:pt idx="6">
                  <c:v>Jul</c:v>
                </c:pt>
                <c:pt idx="7">
                  <c:v>Aug</c:v>
                </c:pt>
                <c:pt idx="8">
                  <c:v>Sep</c:v>
                </c:pt>
              </c:strCache>
            </c:strRef>
          </c:cat>
          <c:val>
            <c:numRef>
              <c:f>Monthly_sales_Trend!$B$4:$B$13</c:f>
              <c:numCache>
                <c:formatCode>\£0.00</c:formatCode>
                <c:ptCount val="9"/>
                <c:pt idx="0">
                  <c:v>1898.2500000000005</c:v>
                </c:pt>
                <c:pt idx="1">
                  <c:v>2180.2500000000005</c:v>
                </c:pt>
                <c:pt idx="2">
                  <c:v>2062.7000000000012</c:v>
                </c:pt>
                <c:pt idx="3">
                  <c:v>2123.9000000000005</c:v>
                </c:pt>
                <c:pt idx="4">
                  <c:v>2090.5000000000023</c:v>
                </c:pt>
                <c:pt idx="5">
                  <c:v>2395.5000000000005</c:v>
                </c:pt>
                <c:pt idx="6">
                  <c:v>2045.0000000000009</c:v>
                </c:pt>
                <c:pt idx="7">
                  <c:v>2135.8500000000008</c:v>
                </c:pt>
                <c:pt idx="8">
                  <c:v>2077.4000000000015</c:v>
                </c:pt>
              </c:numCache>
            </c:numRef>
          </c:val>
          <c:smooth val="0"/>
          <c:extLst>
            <c:ext xmlns:c16="http://schemas.microsoft.com/office/drawing/2014/chart" uri="{C3380CC4-5D6E-409C-BE32-E72D297353CC}">
              <c16:uniqueId val="{00000000-214A-4B67-91F5-7D6441C50BE7}"/>
            </c:ext>
          </c:extLst>
        </c:ser>
        <c:dLbls>
          <c:showLegendKey val="0"/>
          <c:showVal val="1"/>
          <c:showCatName val="0"/>
          <c:showSerName val="0"/>
          <c:showPercent val="0"/>
          <c:showBubbleSize val="0"/>
        </c:dLbls>
        <c:smooth val="0"/>
        <c:axId val="1904609439"/>
        <c:axId val="1904609919"/>
      </c:lineChart>
      <c:catAx>
        <c:axId val="190460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609919"/>
        <c:crosses val="autoZero"/>
        <c:auto val="1"/>
        <c:lblAlgn val="ctr"/>
        <c:lblOffset val="100"/>
        <c:noMultiLvlLbl val="0"/>
      </c:catAx>
      <c:valAx>
        <c:axId val="19046099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60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[Ankitha_Devarapalli_UK_Restaurant_Sales_Dashboard.xlsx]Sales_by_Category+graph!PivotTable1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'Sales_by_Category+graph'!$B$3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'Sales_by_Category+graph'!$A$4:$A$8</c:f>
              <c:strCache>
                <c:ptCount val="4"/>
                <c:pt idx="0">
                  <c:v>Dessert</c:v>
                </c:pt>
                <c:pt idx="1">
                  <c:v>Drink</c:v>
                </c:pt>
                <c:pt idx="2">
                  <c:v>Main</c:v>
                </c:pt>
                <c:pt idx="3">
                  <c:v>Starter</c:v>
                </c:pt>
              </c:strCache>
            </c:strRef>
          </c:cat>
          <c:val>
            <c:numRef>
              <c:f>'Sales_by_Category+graph'!$B$4:$B$8</c:f>
              <c:numCache>
                <c:formatCode>\£0.00</c:formatCode>
                <c:ptCount val="4"/>
                <c:pt idx="0">
                  <c:v>2085.550000000002</c:v>
                </c:pt>
                <c:pt idx="1">
                  <c:v>2041.0999999999979</c:v>
                </c:pt>
                <c:pt idx="2">
                  <c:v>11853.100000000009</c:v>
                </c:pt>
                <c:pt idx="3">
                  <c:v>3029.5999999999995</c:v>
                </c:pt>
              </c:numCache>
            </c:numRef>
          </c:val>
          <c:extLst>
            <c:ext xmlns:c16="http://schemas.microsoft.com/office/drawing/2014/chart" uri="{C3380CC4-5D6E-409C-BE32-E72D297353CC}">
              <c16:uniqueId val="{00000000-4D4F-42ED-934E-BCF131B12A09}"/>
            </c:ext>
          </c:extLst>
        </c:ser>
        <c:dLbls>
          <c:dLblPos val="outEnd"/>
          <c:showLegendKey val="0"/>
          <c:showVal val="1"/>
          <c:showCatName val="0"/>
          <c:showSerName val="0"/>
          <c:showPercent val="0"/>
          <c:showBubbleSize val="0"/>
        </c:dLbls>
        <c:gapWidth val="219"/>
        <c:overlap val="-27"/>
        <c:axId val="73011519"/>
        <c:axId val="73012959"/>
      </c:barChart>
      <c:catAx>
        <c:axId val="7301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12959"/>
        <c:crosses val="autoZero"/>
        <c:auto val="1"/>
        <c:lblAlgn val="ctr"/>
        <c:lblOffset val="100"/>
        <c:noMultiLvlLbl val="0"/>
      </c:catAx>
      <c:valAx>
        <c:axId val="7301295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1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[Ankitha_Devarapalli_UK_Restaurant_Sales_Dashboard.xlsx]Sales_by_shift!PivotTable2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SHIFT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Sales_by_shift!$B$3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Sales_by_shift!$A$4:$A$6</c:f>
              <c:strCache>
                <c:ptCount val="2"/>
                <c:pt idx="0">
                  <c:v>Dinner</c:v>
                </c:pt>
                <c:pt idx="1">
                  <c:v>Lunch</c:v>
                </c:pt>
              </c:strCache>
            </c:strRef>
          </c:cat>
          <c:val>
            <c:numRef>
              <c:f>Sales_by_shift!$B$4:$B$6</c:f>
              <c:numCache>
                <c:formatCode>\£0.00</c:formatCode>
                <c:ptCount val="2"/>
                <c:pt idx="0">
                  <c:v>11744.250000000009</c:v>
                </c:pt>
                <c:pt idx="1">
                  <c:v>7265.0999999999849</c:v>
                </c:pt>
              </c:numCache>
            </c:numRef>
          </c:val>
          <c:extLst>
            <c:ext xmlns:c16="http://schemas.microsoft.com/office/drawing/2014/chart" uri="{C3380CC4-5D6E-409C-BE32-E72D297353CC}">
              <c16:uniqueId val="{00000000-493D-46D9-8AF8-862A264E85A2}"/>
            </c:ext>
          </c:extLst>
        </c:ser>
        <c:dLbls>
          <c:dLblPos val="outEnd"/>
          <c:showLegendKey val="0"/>
          <c:showVal val="1"/>
          <c:showCatName val="0"/>
          <c:showSerName val="0"/>
          <c:showPercent val="0"/>
          <c:showBubbleSize val="0"/>
        </c:dLbls>
        <c:gapWidth val="219"/>
        <c:overlap val="-27"/>
        <c:axId val="1282350303"/>
        <c:axId val="317429903"/>
      </c:barChart>
      <c:catAx>
        <c:axId val="128235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429903"/>
        <c:crosses val="autoZero"/>
        <c:auto val="1"/>
        <c:lblAlgn val="ctr"/>
        <c:lblOffset val="100"/>
        <c:noMultiLvlLbl val="0"/>
      </c:catAx>
      <c:valAx>
        <c:axId val="3174299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35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[Ankitha_Devarapalli_UK_Restaurant_Sales_Dashboard.xlsx]Sales_by_Order_Status!PivotTable2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ORDER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Sales_by_Order_Status!$B$3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Sales_by_Order_Status!$A$4:$A$7</c:f>
              <c:strCache>
                <c:ptCount val="3"/>
                <c:pt idx="0">
                  <c:v>Cancelled</c:v>
                </c:pt>
                <c:pt idx="1">
                  <c:v>Completed</c:v>
                </c:pt>
                <c:pt idx="2">
                  <c:v>Refunded</c:v>
                </c:pt>
              </c:strCache>
            </c:strRef>
          </c:cat>
          <c:val>
            <c:numRef>
              <c:f>Sales_by_Order_Status!$B$4:$B$7</c:f>
              <c:numCache>
                <c:formatCode>\£0.00</c:formatCode>
                <c:ptCount val="3"/>
                <c:pt idx="0">
                  <c:v>0</c:v>
                </c:pt>
                <c:pt idx="1">
                  <c:v>19649.150000000078</c:v>
                </c:pt>
                <c:pt idx="2">
                  <c:v>-639.80000000000007</c:v>
                </c:pt>
              </c:numCache>
            </c:numRef>
          </c:val>
          <c:extLst>
            <c:ext xmlns:c16="http://schemas.microsoft.com/office/drawing/2014/chart" uri="{C3380CC4-5D6E-409C-BE32-E72D297353CC}">
              <c16:uniqueId val="{00000000-9B66-4180-B3D2-4B51D9EF4F79}"/>
            </c:ext>
          </c:extLst>
        </c:ser>
        <c:dLbls>
          <c:dLblPos val="outEnd"/>
          <c:showLegendKey val="0"/>
          <c:showVal val="1"/>
          <c:showCatName val="0"/>
          <c:showSerName val="0"/>
          <c:showPercent val="0"/>
          <c:showBubbleSize val="0"/>
        </c:dLbls>
        <c:gapWidth val="219"/>
        <c:overlap val="-27"/>
        <c:axId val="72995679"/>
        <c:axId val="73004799"/>
      </c:barChart>
      <c:catAx>
        <c:axId val="7299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04799"/>
        <c:crosses val="autoZero"/>
        <c:auto val="1"/>
        <c:lblAlgn val="ctr"/>
        <c:lblOffset val="100"/>
        <c:noMultiLvlLbl val="0"/>
      </c:catAx>
      <c:valAx>
        <c:axId val="730047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9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[Ankitha_Devarapalli_UK_Restaurant_Sales_Dashboard.xlsx]AVG_Wait_Time_by_Shift!PivotTable6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WAIT TIME BY SHIFT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AVG_Wait_Time_by_Shift!$B$3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AVG_Wait_Time_by_Shift!$A$4:$A$6</c:f>
              <c:strCache>
                <c:ptCount val="2"/>
                <c:pt idx="0">
                  <c:v>Dinner</c:v>
                </c:pt>
                <c:pt idx="1">
                  <c:v>Lunch</c:v>
                </c:pt>
              </c:strCache>
            </c:strRef>
          </c:cat>
          <c:val>
            <c:numRef>
              <c:f>AVG_Wait_Time_by_Shift!$B$4:$B$6</c:f>
              <c:numCache>
                <c:formatCode>0.00</c:formatCode>
                <c:ptCount val="2"/>
                <c:pt idx="0">
                  <c:v>17.990374331550804</c:v>
                </c:pt>
                <c:pt idx="1">
                  <c:v>14.157522123893806</c:v>
                </c:pt>
              </c:numCache>
            </c:numRef>
          </c:val>
          <c:extLst>
            <c:ext xmlns:c16="http://schemas.microsoft.com/office/drawing/2014/chart" uri="{C3380CC4-5D6E-409C-BE32-E72D297353CC}">
              <c16:uniqueId val="{00000000-8B1C-43B2-AA9F-B03C747E594D}"/>
            </c:ext>
          </c:extLst>
        </c:ser>
        <c:dLbls>
          <c:dLblPos val="outEnd"/>
          <c:showLegendKey val="0"/>
          <c:showVal val="1"/>
          <c:showCatName val="0"/>
          <c:showSerName val="0"/>
          <c:showPercent val="0"/>
          <c:showBubbleSize val="0"/>
        </c:dLbls>
        <c:gapWidth val="219"/>
        <c:overlap val="-27"/>
        <c:axId val="366586559"/>
        <c:axId val="366578879"/>
      </c:barChart>
      <c:catAx>
        <c:axId val="36658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578879"/>
        <c:crosses val="autoZero"/>
        <c:auto val="1"/>
        <c:lblAlgn val="ctr"/>
        <c:lblOffset val="100"/>
        <c:noMultiLvlLbl val="0"/>
      </c:catAx>
      <c:valAx>
        <c:axId val="36657887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58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234949</xdr:colOff>
      <xdr:row>4</xdr:row>
      <xdr:rowOff>123825</xdr:rowOff>
    </xdr:from>
    <xdr:to>
      <xdr:col>7</xdr:col>
      <xdr:colOff>473074</xdr:colOff>
      <xdr:row>20</xdr:row>
      <xdr:rowOff>22225</xdr:rowOff>
    </xdr:to>
    <xdr:graphicFrame macro="">
      <xdr:nvGraphicFramePr>
        <xdr:cNvPr id="2" name="Chart 1">
          <a:extLst>
            <a:ext uri="{FF2B5EF4-FFF2-40B4-BE49-F238E27FC236}">
              <a16:creationId xmlns:a16="http://schemas.microsoft.com/office/drawing/2014/main" id="{36915684-9137-3094-FC6C-36E17732B6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76200</xdr:colOff>
      <xdr:row>4</xdr:row>
      <xdr:rowOff>3175</xdr:rowOff>
    </xdr:from>
    <xdr:to>
      <xdr:col>9</xdr:col>
      <xdr:colOff>203200</xdr:colOff>
      <xdr:row>19</xdr:row>
      <xdr:rowOff>79375</xdr:rowOff>
    </xdr:to>
    <xdr:graphicFrame macro="">
      <xdr:nvGraphicFramePr>
        <xdr:cNvPr id="2" name="Chart 1">
          <a:extLst>
            <a:ext uri="{FF2B5EF4-FFF2-40B4-BE49-F238E27FC236}">
              <a16:creationId xmlns:a16="http://schemas.microsoft.com/office/drawing/2014/main" id="{A39EABA7-D62C-80CB-5C6F-80E34A684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297655</xdr:colOff>
      <xdr:row>3</xdr:row>
      <xdr:rowOff>46302</xdr:rowOff>
    </xdr:from>
    <xdr:to>
      <xdr:col>7</xdr:col>
      <xdr:colOff>595312</xdr:colOff>
      <xdr:row>20</xdr:row>
      <xdr:rowOff>0</xdr:rowOff>
    </xdr:to>
    <xdr:graphicFrame macro="">
      <xdr:nvGraphicFramePr>
        <xdr:cNvPr id="2" name="Chart 1">
          <a:extLst>
            <a:ext uri="{FF2B5EF4-FFF2-40B4-BE49-F238E27FC236}">
              <a16:creationId xmlns:a16="http://schemas.microsoft.com/office/drawing/2014/main" id="{3E19626D-106A-3BF3-83C3-8D527DBC5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209550</xdr:colOff>
      <xdr:row>4</xdr:row>
      <xdr:rowOff>123825</xdr:rowOff>
    </xdr:from>
    <xdr:to>
      <xdr:col>10</xdr:col>
      <xdr:colOff>158750</xdr:colOff>
      <xdr:row>20</xdr:row>
      <xdr:rowOff>22225</xdr:rowOff>
    </xdr:to>
    <xdr:graphicFrame macro="">
      <xdr:nvGraphicFramePr>
        <xdr:cNvPr id="3" name="Chart 2">
          <a:extLst>
            <a:ext uri="{FF2B5EF4-FFF2-40B4-BE49-F238E27FC236}">
              <a16:creationId xmlns:a16="http://schemas.microsoft.com/office/drawing/2014/main" id="{56B6B029-FDE6-D2A3-11D2-0D92A1B303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209550</xdr:colOff>
      <xdr:row>4</xdr:row>
      <xdr:rowOff>123825</xdr:rowOff>
    </xdr:from>
    <xdr:to>
      <xdr:col>10</xdr:col>
      <xdr:colOff>158750</xdr:colOff>
      <xdr:row>20</xdr:row>
      <xdr:rowOff>22225</xdr:rowOff>
    </xdr:to>
    <xdr:graphicFrame macro="">
      <xdr:nvGraphicFramePr>
        <xdr:cNvPr id="2" name="Chart 1">
          <a:extLst>
            <a:ext uri="{FF2B5EF4-FFF2-40B4-BE49-F238E27FC236}">
              <a16:creationId xmlns:a16="http://schemas.microsoft.com/office/drawing/2014/main" id="{34CF8754-8821-883A-8271-2369F85A0E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254000</xdr:colOff>
      <xdr:row>1</xdr:row>
      <xdr:rowOff>101600</xdr:rowOff>
    </xdr:from>
    <xdr:to>
      <xdr:col>9</xdr:col>
      <xdr:colOff>622300</xdr:colOff>
      <xdr:row>23</xdr:row>
      <xdr:rowOff>19049</xdr:rowOff>
    </xdr:to>
    <xdr:graphicFrame macro="">
      <xdr:nvGraphicFramePr>
        <xdr:cNvPr id="2" name="Chart 1">
          <a:extLst>
            <a:ext uri="{FF2B5EF4-FFF2-40B4-BE49-F238E27FC236}">
              <a16:creationId xmlns:a16="http://schemas.microsoft.com/office/drawing/2014/main" id="{09214B23-BDC7-15D2-FE3E-E32C07D021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431800</xdr:colOff>
      <xdr:row>3</xdr:row>
      <xdr:rowOff>142875</xdr:rowOff>
    </xdr:from>
    <xdr:to>
      <xdr:col>9</xdr:col>
      <xdr:colOff>381000</xdr:colOff>
      <xdr:row>19</xdr:row>
      <xdr:rowOff>41275</xdr:rowOff>
    </xdr:to>
    <xdr:graphicFrame macro="">
      <xdr:nvGraphicFramePr>
        <xdr:cNvPr id="2" name="Chart 1">
          <a:extLst>
            <a:ext uri="{FF2B5EF4-FFF2-40B4-BE49-F238E27FC236}">
              <a16:creationId xmlns:a16="http://schemas.microsoft.com/office/drawing/2014/main" id="{AC1BC638-5EBE-1D37-BC5C-0B486801F5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86164</xdr:colOff>
      <xdr:row>10</xdr:row>
      <xdr:rowOff>5417</xdr:rowOff>
    </xdr:from>
    <xdr:to>
      <xdr:col>1</xdr:col>
      <xdr:colOff>5403491</xdr:colOff>
      <xdr:row>26</xdr:row>
      <xdr:rowOff>47925</xdr:rowOff>
    </xdr:to>
    <xdr:graphicFrame macro="">
      <xdr:nvGraphicFramePr>
        <xdr:cNvPr id="2" name="Chart 1">
          <a:extLst>
            <a:ext uri="{FF2B5EF4-FFF2-40B4-BE49-F238E27FC236}">
              <a16:creationId xmlns:a16="http://schemas.microsoft.com/office/drawing/2014/main" id="{12729E80-03DF-49AC-86ED-E42ADCF37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5655095</xdr:colOff>
      <xdr:row>9</xdr:row>
      <xdr:rowOff>176434</xdr:rowOff>
    </xdr:from>
    <xdr:to>
      <xdr:col>6</xdr:col>
      <xdr:colOff>93426</xdr:colOff>
      <xdr:row>25</xdr:row>
      <xdr:rowOff>72917</xdr:rowOff>
    </xdr:to>
    <xdr:graphicFrame macro="">
      <xdr:nvGraphicFramePr>
        <xdr:cNvPr id="3" name="Chart 2">
          <a:extLst>
            <a:ext uri="{FF2B5EF4-FFF2-40B4-BE49-F238E27FC236}">
              <a16:creationId xmlns:a16="http://schemas.microsoft.com/office/drawing/2014/main" id="{900B0D2C-5AE1-4120-8541-D506A55188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5664009</xdr:colOff>
      <xdr:row>27</xdr:row>
      <xdr:rowOff>4003</xdr:rowOff>
    </xdr:from>
    <xdr:to>
      <xdr:col>4</xdr:col>
      <xdr:colOff>1662634</xdr:colOff>
      <xdr:row>42</xdr:row>
      <xdr:rowOff>80203</xdr:rowOff>
    </xdr:to>
    <xdr:graphicFrame macro="">
      <xdr:nvGraphicFramePr>
        <xdr:cNvPr id="4" name="Chart 3">
          <a:extLst>
            <a:ext uri="{FF2B5EF4-FFF2-40B4-BE49-F238E27FC236}">
              <a16:creationId xmlns:a16="http://schemas.microsoft.com/office/drawing/2014/main" id="{457E8189-3F6F-486D-9DC0-4B3E1F9F7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468997</xdr:colOff>
      <xdr:row>27</xdr:row>
      <xdr:rowOff>7370</xdr:rowOff>
    </xdr:from>
    <xdr:to>
      <xdr:col>13</xdr:col>
      <xdr:colOff>435430</xdr:colOff>
      <xdr:row>42</xdr:row>
      <xdr:rowOff>61581</xdr:rowOff>
    </xdr:to>
    <xdr:graphicFrame macro="">
      <xdr:nvGraphicFramePr>
        <xdr:cNvPr id="5" name="Chart 4">
          <a:extLst>
            <a:ext uri="{FF2B5EF4-FFF2-40B4-BE49-F238E27FC236}">
              <a16:creationId xmlns:a16="http://schemas.microsoft.com/office/drawing/2014/main" id="{31225F9D-0631-4928-BC68-F9C78D452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444778</xdr:colOff>
      <xdr:row>9</xdr:row>
      <xdr:rowOff>155754</xdr:rowOff>
    </xdr:from>
    <xdr:to>
      <xdr:col>13</xdr:col>
      <xdr:colOff>376350</xdr:colOff>
      <xdr:row>24</xdr:row>
      <xdr:rowOff>156760</xdr:rowOff>
    </xdr:to>
    <xdr:graphicFrame macro="">
      <xdr:nvGraphicFramePr>
        <xdr:cNvPr id="7" name="Chart 6">
          <a:extLst>
            <a:ext uri="{FF2B5EF4-FFF2-40B4-BE49-F238E27FC236}">
              <a16:creationId xmlns:a16="http://schemas.microsoft.com/office/drawing/2014/main" id="{093240B5-AED7-4989-A92D-8E42430A8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26843</xdr:colOff>
      <xdr:row>0</xdr:row>
      <xdr:rowOff>158899</xdr:rowOff>
    </xdr:from>
    <xdr:to>
      <xdr:col>10</xdr:col>
      <xdr:colOff>537719</xdr:colOff>
      <xdr:row>9</xdr:row>
      <xdr:rowOff>23963</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1A7120F8-1A32-DD3A-C01C-8CAE0BDFCFD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673570" y="158899"/>
              <a:ext cx="1827058" cy="1677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374650</xdr:colOff>
      <xdr:row>5</xdr:row>
      <xdr:rowOff>88900</xdr:rowOff>
    </xdr:from>
    <xdr:to>
      <xdr:col>6</xdr:col>
      <xdr:colOff>222250</xdr:colOff>
      <xdr:row>19</xdr:row>
      <xdr:rowOff>39153</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4C250527-D280-0CB9-54EB-FB59CFE696F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416300" y="977900"/>
              <a:ext cx="1828800" cy="24394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196850</xdr:colOff>
      <xdr:row>5</xdr:row>
      <xdr:rowOff>82550</xdr:rowOff>
    </xdr:from>
    <xdr:to>
      <xdr:col>7</xdr:col>
      <xdr:colOff>44450</xdr:colOff>
      <xdr:row>19</xdr:row>
      <xdr:rowOff>32803</xdr:rowOff>
    </xdr:to>
    <mc:AlternateContent xmlns:mc="http://schemas.openxmlformats.org/markup-compatibility/2006" xmlns:a14="http://schemas.microsoft.com/office/drawing/2010/main">
      <mc:Choice Requires="a14">
        <xdr:graphicFrame macro="">
          <xdr:nvGraphicFramePr>
            <xdr:cNvPr id="2" name="Category 2">
              <a:extLst>
                <a:ext uri="{FF2B5EF4-FFF2-40B4-BE49-F238E27FC236}">
                  <a16:creationId xmlns:a16="http://schemas.microsoft.com/office/drawing/2014/main" id="{BF20B772-A798-B6F1-0F57-AD47F9DB25D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3416300" y="971550"/>
              <a:ext cx="1828800" cy="24394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6350</xdr:colOff>
      <xdr:row>5</xdr:row>
      <xdr:rowOff>88900</xdr:rowOff>
    </xdr:from>
    <xdr:to>
      <xdr:col>5</xdr:col>
      <xdr:colOff>514350</xdr:colOff>
      <xdr:row>19</xdr:row>
      <xdr:rowOff>39153</xdr:rowOff>
    </xdr:to>
    <mc:AlternateContent xmlns:mc="http://schemas.openxmlformats.org/markup-compatibility/2006" xmlns:a14="http://schemas.microsoft.com/office/drawing/2010/main">
      <mc:Choice Requires="a14">
        <xdr:graphicFrame macro="">
          <xdr:nvGraphicFramePr>
            <xdr:cNvPr id="2" name="Category 3">
              <a:extLst>
                <a:ext uri="{FF2B5EF4-FFF2-40B4-BE49-F238E27FC236}">
                  <a16:creationId xmlns:a16="http://schemas.microsoft.com/office/drawing/2014/main" id="{6F136D54-72C5-4BF5-88D1-A166E4BD3B0A}"/>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3416300" y="977900"/>
              <a:ext cx="1828800" cy="24394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man reddy masireddy" refreshedDate="46312.839679976852" createdVersion="8" refreshedVersion="8" minRefreshableVersion="3" recordCount="1500" xr:uid="{56377366-C7D6-49B8-96D0-83EAA8D5FD82}">
  <cacheSource type="worksheet">
    <worksheetSource name="RestaurantOrders"/>
  </cacheSource>
  <cacheFields count="17">
    <cacheField name="Order_ID" numFmtId="0">
      <sharedItems/>
    </cacheField>
    <cacheField name="Date" numFmtId="164">
      <sharedItems containsSemiMixedTypes="0" containsNonDate="0" containsDate="1" containsString="0" minDate="2026-01-01T00:00:00" maxDate="2026-10-01T00:00:00" count="271">
        <d v="2026-02-27T00:00:00"/>
        <d v="2026-01-17T00:00:00"/>
        <d v="2026-08-03T00:00:00"/>
        <d v="2026-06-22T00:00:00"/>
        <d v="2026-08-24T00:00:00"/>
        <d v="2026-02-05T00:00:00"/>
        <d v="2026-07-06T00:00:00"/>
        <d v="2026-05-06T00:00:00"/>
        <d v="2026-01-29T00:00:00"/>
        <d v="2026-09-13T00:00:00"/>
        <d v="2026-05-15T00:00:00"/>
        <d v="2026-03-20T00:00:00"/>
        <d v="2026-09-28T00:00:00"/>
        <d v="2026-08-11T00:00:00"/>
        <d v="2026-02-24T00:00:00"/>
        <d v="2026-01-01T00:00:00"/>
        <d v="2026-02-10T00:00:00"/>
        <d v="2026-08-05T00:00:00"/>
        <d v="2026-08-13T00:00:00"/>
        <d v="2026-02-06T00:00:00"/>
        <d v="2026-05-23T00:00:00"/>
        <d v="2026-04-08T00:00:00"/>
        <d v="2026-02-20T00:00:00"/>
        <d v="2026-02-08T00:00:00"/>
        <d v="2026-02-17T00:00:00"/>
        <d v="2026-07-19T00:00:00"/>
        <d v="2026-09-07T00:00:00"/>
        <d v="2026-09-15T00:00:00"/>
        <d v="2026-02-04T00:00:00"/>
        <d v="2026-09-25T00:00:00"/>
        <d v="2026-06-03T00:00:00"/>
        <d v="2026-03-09T00:00:00"/>
        <d v="2026-06-04T00:00:00"/>
        <d v="2026-03-01T00:00:00"/>
        <d v="2026-04-15T00:00:00"/>
        <d v="2026-06-20T00:00:00"/>
        <d v="2026-01-05T00:00:00"/>
        <d v="2026-01-21T00:00:00"/>
        <d v="2026-07-28T00:00:00"/>
        <d v="2026-07-30T00:00:00"/>
        <d v="2026-01-20T00:00:00"/>
        <d v="2026-06-10T00:00:00"/>
        <d v="2026-08-12T00:00:00"/>
        <d v="2026-03-05T00:00:00"/>
        <d v="2026-03-07T00:00:00"/>
        <d v="2026-08-09T00:00:00"/>
        <d v="2026-08-31T00:00:00"/>
        <d v="2026-05-01T00:00:00"/>
        <d v="2026-02-07T00:00:00"/>
        <d v="2026-03-04T00:00:00"/>
        <d v="2026-09-16T00:00:00"/>
        <d v="2026-05-07T00:00:00"/>
        <d v="2026-06-13T00:00:00"/>
        <d v="2026-02-02T00:00:00"/>
        <d v="2026-01-11T00:00:00"/>
        <d v="2026-07-27T00:00:00"/>
        <d v="2026-01-14T00:00:00"/>
        <d v="2026-07-14T00:00:00"/>
        <d v="2026-06-29T00:00:00"/>
        <d v="2026-02-28T00:00:00"/>
        <d v="2026-04-12T00:00:00"/>
        <d v="2026-01-22T00:00:00"/>
        <d v="2026-08-10T00:00:00"/>
        <d v="2026-05-19T00:00:00"/>
        <d v="2026-02-14T00:00:00"/>
        <d v="2026-09-11T00:00:00"/>
        <d v="2026-01-06T00:00:00"/>
        <d v="2026-09-01T00:00:00"/>
        <d v="2026-05-09T00:00:00"/>
        <d v="2026-09-26T00:00:00"/>
        <d v="2026-03-06T00:00:00"/>
        <d v="2026-05-26T00:00:00"/>
        <d v="2026-02-03T00:00:00"/>
        <d v="2026-08-02T00:00:00"/>
        <d v="2026-08-08T00:00:00"/>
        <d v="2026-02-11T00:00:00"/>
        <d v="2026-08-29T00:00:00"/>
        <d v="2026-06-07T00:00:00"/>
        <d v="2026-09-10T00:00:00"/>
        <d v="2026-04-28T00:00:00"/>
        <d v="2026-02-16T00:00:00"/>
        <d v="2026-07-25T00:00:00"/>
        <d v="2026-07-26T00:00:00"/>
        <d v="2026-08-15T00:00:00"/>
        <d v="2026-09-06T00:00:00"/>
        <d v="2026-08-25T00:00:00"/>
        <d v="2026-08-01T00:00:00"/>
        <d v="2026-09-08T00:00:00"/>
        <d v="2026-04-07T00:00:00"/>
        <d v="2026-08-14T00:00:00"/>
        <d v="2026-05-16T00:00:00"/>
        <d v="2026-04-27T00:00:00"/>
        <d v="2026-05-31T00:00:00"/>
        <d v="2026-03-29T00:00:00"/>
        <d v="2026-06-26T00:00:00"/>
        <d v="2026-07-22T00:00:00"/>
        <d v="2026-03-12T00:00:00"/>
        <d v="2026-06-01T00:00:00"/>
        <d v="2026-09-29T00:00:00"/>
        <d v="2026-07-07T00:00:00"/>
        <d v="2026-07-10T00:00:00"/>
        <d v="2026-04-24T00:00:00"/>
        <d v="2026-07-09T00:00:00"/>
        <d v="2026-07-03T00:00:00"/>
        <d v="2026-04-17T00:00:00"/>
        <d v="2026-06-15T00:00:00"/>
        <d v="2026-09-20T00:00:00"/>
        <d v="2026-09-24T00:00:00"/>
        <d v="2026-06-16T00:00:00"/>
        <d v="2026-04-21T00:00:00"/>
        <d v="2026-09-04T00:00:00"/>
        <d v="2026-06-08T00:00:00"/>
        <d v="2026-03-14T00:00:00"/>
        <d v="2026-02-13T00:00:00"/>
        <d v="2026-08-06T00:00:00"/>
        <d v="2026-04-10T00:00:00"/>
        <d v="2026-05-21T00:00:00"/>
        <d v="2026-03-23T00:00:00"/>
        <d v="2026-06-18T00:00:00"/>
        <d v="2026-03-18T00:00:00"/>
        <d v="2026-09-27T00:00:00"/>
        <d v="2026-04-26T00:00:00"/>
        <d v="2026-03-26T00:00:00"/>
        <d v="2026-08-18T00:00:00"/>
        <d v="2026-05-25T00:00:00"/>
        <d v="2026-03-24T00:00:00"/>
        <d v="2026-06-28T00:00:00"/>
        <d v="2026-03-13T00:00:00"/>
        <d v="2026-08-23T00:00:00"/>
        <d v="2026-06-30T00:00:00"/>
        <d v="2026-09-17T00:00:00"/>
        <d v="2026-01-09T00:00:00"/>
        <d v="2026-04-04T00:00:00"/>
        <d v="2026-07-02T00:00:00"/>
        <d v="2026-01-16T00:00:00"/>
        <d v="2026-03-02T00:00:00"/>
        <d v="2026-09-09T00:00:00"/>
        <d v="2026-03-31T00:00:00"/>
        <d v="2026-07-08T00:00:00"/>
        <d v="2026-09-03T00:00:00"/>
        <d v="2026-03-28T00:00:00"/>
        <d v="2026-01-15T00:00:00"/>
        <d v="2026-09-12T00:00:00"/>
        <d v="2026-02-19T00:00:00"/>
        <d v="2026-05-04T00:00:00"/>
        <d v="2026-01-27T00:00:00"/>
        <d v="2026-05-24T00:00:00"/>
        <d v="2026-09-02T00:00:00"/>
        <d v="2026-05-03T00:00:00"/>
        <d v="2026-02-21T00:00:00"/>
        <d v="2026-04-13T00:00:00"/>
        <d v="2026-04-29T00:00:00"/>
        <d v="2026-06-21T00:00:00"/>
        <d v="2026-06-19T00:00:00"/>
        <d v="2026-02-18T00:00:00"/>
        <d v="2026-08-17T00:00:00"/>
        <d v="2026-08-30T00:00:00"/>
        <d v="2026-09-19T00:00:00"/>
        <d v="2026-01-12T00:00:00"/>
        <d v="2026-08-04T00:00:00"/>
        <d v="2026-03-10T00:00:00"/>
        <d v="2026-04-30T00:00:00"/>
        <d v="2026-05-02T00:00:00"/>
        <d v="2026-03-15T00:00:00"/>
        <d v="2026-05-05T00:00:00"/>
        <d v="2026-07-13T00:00:00"/>
        <d v="2026-04-22T00:00:00"/>
        <d v="2026-03-16T00:00:00"/>
        <d v="2026-01-31T00:00:00"/>
        <d v="2026-09-05T00:00:00"/>
        <d v="2026-02-12T00:00:00"/>
        <d v="2026-06-11T00:00:00"/>
        <d v="2026-06-17T00:00:00"/>
        <d v="2026-02-22T00:00:00"/>
        <d v="2026-05-22T00:00:00"/>
        <d v="2026-04-11T00:00:00"/>
        <d v="2026-04-03T00:00:00"/>
        <d v="2026-07-29T00:00:00"/>
        <d v="2026-07-04T00:00:00"/>
        <d v="2026-03-27T00:00:00"/>
        <d v="2026-08-26T00:00:00"/>
        <d v="2026-02-25T00:00:00"/>
        <d v="2026-08-07T00:00:00"/>
        <d v="2026-08-19T00:00:00"/>
        <d v="2026-03-30T00:00:00"/>
        <d v="2026-07-11T00:00:00"/>
        <d v="2026-01-28T00:00:00"/>
        <d v="2026-06-14T00:00:00"/>
        <d v="2026-05-18T00:00:00"/>
        <d v="2026-06-25T00:00:00"/>
        <d v="2026-03-19T00:00:00"/>
        <d v="2026-07-20T00:00:00"/>
        <d v="2026-01-07T00:00:00"/>
        <d v="2026-05-27T00:00:00"/>
        <d v="2026-08-21T00:00:00"/>
        <d v="2026-08-22T00:00:00"/>
        <d v="2026-04-02T00:00:00"/>
        <d v="2026-01-24T00:00:00"/>
        <d v="2026-06-27T00:00:00"/>
        <d v="2026-01-23T00:00:00"/>
        <d v="2026-07-21T00:00:00"/>
        <d v="2026-04-23T00:00:00"/>
        <d v="2026-07-17T00:00:00"/>
        <d v="2026-04-16T00:00:00"/>
        <d v="2026-01-26T00:00:00"/>
        <d v="2026-04-06T00:00:00"/>
        <d v="2026-01-18T00:00:00"/>
        <d v="2026-05-13T00:00:00"/>
        <d v="2026-07-16T00:00:00"/>
        <d v="2026-07-23T00:00:00"/>
        <d v="2026-01-03T00:00:00"/>
        <d v="2026-06-06T00:00:00"/>
        <d v="2026-05-11T00:00:00"/>
        <d v="2026-02-23T00:00:00"/>
        <d v="2026-03-08T00:00:00"/>
        <d v="2026-05-30T00:00:00"/>
        <d v="2026-04-25T00:00:00"/>
        <d v="2026-09-21T00:00:00"/>
        <d v="2026-04-20T00:00:00"/>
        <d v="2026-07-15T00:00:00"/>
        <d v="2026-02-09T00:00:00"/>
        <d v="2026-05-14T00:00:00"/>
        <d v="2026-05-29T00:00:00"/>
        <d v="2026-04-19T00:00:00"/>
        <d v="2026-07-05T00:00:00"/>
        <d v="2026-02-15T00:00:00"/>
        <d v="2026-09-23T00:00:00"/>
        <d v="2026-05-08T00:00:00"/>
        <d v="2026-01-25T00:00:00"/>
        <d v="2026-08-16T00:00:00"/>
        <d v="2026-01-04T00:00:00"/>
        <d v="2026-05-20T00:00:00"/>
        <d v="2026-08-20T00:00:00"/>
        <d v="2026-01-30T00:00:00"/>
        <d v="2026-07-31T00:00:00"/>
        <d v="2026-09-30T00:00:00"/>
        <d v="2026-09-14T00:00:00"/>
        <d v="2026-03-11T00:00:00"/>
        <d v="2026-01-08T00:00:00"/>
        <d v="2026-09-22T00:00:00"/>
        <d v="2026-06-02T00:00:00"/>
        <d v="2026-04-01T00:00:00"/>
        <d v="2026-07-01T00:00:00"/>
        <d v="2026-01-10T00:00:00"/>
        <d v="2026-06-09T00:00:00"/>
        <d v="2026-08-27T00:00:00"/>
        <d v="2026-06-12T00:00:00"/>
        <d v="2026-06-05T00:00:00"/>
        <d v="2026-03-03T00:00:00"/>
        <d v="2026-04-05T00:00:00"/>
        <d v="2026-01-02T00:00:00"/>
        <d v="2026-04-14T00:00:00"/>
        <d v="2026-07-12T00:00:00"/>
        <d v="2026-02-26T00:00:00"/>
        <d v="2026-05-17T00:00:00"/>
        <d v="2026-03-25T00:00:00"/>
        <d v="2026-07-24T00:00:00"/>
        <d v="2026-03-22T00:00:00"/>
        <d v="2026-06-24T00:00:00"/>
        <d v="2026-04-18T00:00:00"/>
        <d v="2026-03-17T00:00:00"/>
        <d v="2026-01-19T00:00:00"/>
        <d v="2026-04-09T00:00:00"/>
        <d v="2026-08-28T00:00:00"/>
        <d v="2026-07-18T00:00:00"/>
        <d v="2026-01-13T00:00:00"/>
        <d v="2026-09-18T00:00:00"/>
        <d v="2026-03-21T00:00:00"/>
        <d v="2026-05-10T00:00:00"/>
        <d v="2026-06-23T00:00:00"/>
        <d v="2026-05-28T00:00:00"/>
      </sharedItems>
      <fieldGroup par="16"/>
    </cacheField>
    <cacheField name="Time" numFmtId="0">
      <sharedItems/>
    </cacheField>
    <cacheField name="Shift" numFmtId="0">
      <sharedItems count="2">
        <s v="Lunch"/>
        <s v="Dinner"/>
      </sharedItems>
    </cacheField>
    <cacheField name="Menu_Item" numFmtId="0">
      <sharedItems count="20">
        <s v="Caesar Salad"/>
        <s v="Coffee"/>
        <s v="Margherita Pizza"/>
        <s v="Calamari"/>
        <s v="Tea"/>
        <s v="Chicken Burger"/>
        <s v="Garlic Bread"/>
        <s v="Chocolate Brownie"/>
        <s v="Fish &amp; Chips"/>
        <s v="Sparkling Water"/>
        <s v="Veggie Burger"/>
        <s v="Pasta Arrabbiata"/>
        <s v="Cheesecake"/>
        <s v="Pepperoni Pizza"/>
        <s v="Soup of the Day"/>
        <s v="Ice Cream"/>
        <s v="Soft Drink"/>
        <s v="Grilled Chicken"/>
        <s v="Mocktail"/>
        <s v="Chicken Wings"/>
      </sharedItems>
    </cacheField>
    <cacheField name="Category" numFmtId="0">
      <sharedItems count="4">
        <s v="Main"/>
        <s v="Drink"/>
        <s v="Starter"/>
        <s v="Dessert"/>
      </sharedItems>
    </cacheField>
    <cacheField name="Quantity" numFmtId="0">
      <sharedItems containsSemiMixedTypes="0" containsString="0" containsNumber="1" containsInteger="1" minValue="1" maxValue="4"/>
    </cacheField>
    <cacheField name="Unit_Price_GBP" numFmtId="165">
      <sharedItems containsSemiMixedTypes="0" containsString="0" containsNumber="1" minValue="2.8" maxValue="15.95"/>
    </cacheField>
    <cacheField name="Total_Sales_GBP" numFmtId="165">
      <sharedItems containsSemiMixedTypes="0" containsString="0" containsNumber="1" minValue="-58" maxValue="63.8"/>
    </cacheField>
    <cacheField name="Payment_Method" numFmtId="0">
      <sharedItems count="4">
        <s v="Contactless"/>
        <s v="Card"/>
        <s v="Cash"/>
        <s v="Mobile Wallet"/>
      </sharedItems>
    </cacheField>
    <cacheField name="Table_No" numFmtId="0">
      <sharedItems containsSemiMixedTypes="0" containsString="0" containsNumber="1" containsInteger="1" minValue="1" maxValue="30"/>
    </cacheField>
    <cacheField name="Wait_Time_Minutes" numFmtId="0">
      <sharedItems containsSemiMixedTypes="0" containsString="0" containsNumber="1" containsInteger="1" minValue="2" maxValue="39" count="36">
        <n v="10"/>
        <n v="2"/>
        <n v="14"/>
        <n v="4"/>
        <n v="7"/>
        <n v="11"/>
        <n v="22"/>
        <n v="15"/>
        <n v="17"/>
        <n v="12"/>
        <n v="16"/>
        <n v="5"/>
        <n v="27"/>
        <n v="21"/>
        <n v="13"/>
        <n v="28"/>
        <n v="6"/>
        <n v="20"/>
        <n v="24"/>
        <n v="19"/>
        <n v="18"/>
        <n v="23"/>
        <n v="9"/>
        <n v="26"/>
        <n v="8"/>
        <n v="29"/>
        <n v="30"/>
        <n v="25"/>
        <n v="31"/>
        <n v="33"/>
        <n v="3"/>
        <n v="34"/>
        <n v="38"/>
        <n v="39"/>
        <n v="32"/>
        <n v="35"/>
      </sharedItems>
    </cacheField>
    <cacheField name="Order_Status" numFmtId="0">
      <sharedItems count="3">
        <s v="Completed"/>
        <s v="Refunded"/>
        <s v="Cancelled"/>
      </sharedItems>
    </cacheField>
    <cacheField name="Expected _Sales_GBP" numFmtId="0">
      <sharedItems containsSemiMixedTypes="0" containsString="0" containsNumber="1" minValue="2.8" maxValue="63.8"/>
    </cacheField>
    <cacheField name="Validation_Status" numFmtId="0">
      <sharedItems/>
    </cacheField>
    <cacheField name="Days (Date)" numFmtId="0" databaseField="0">
      <fieldGroup base="1">
        <rangePr groupBy="days" startDate="2026-01-01T00:00:00" endDate="2026-10-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0/2026"/>
        </groupItems>
      </fieldGroup>
    </cacheField>
    <cacheField name="Months (Date)" numFmtId="0" databaseField="0">
      <fieldGroup base="1">
        <rangePr groupBy="months" startDate="2026-01-01T00:00:00" endDate="2026-10-01T00:00:00"/>
        <groupItems count="14">
          <s v="&lt;01/01/2026"/>
          <s v="Jan"/>
          <s v="Feb"/>
          <s v="Mar"/>
          <s v="Apr"/>
          <s v="May"/>
          <s v="Jun"/>
          <s v="Jul"/>
          <s v="Aug"/>
          <s v="Sep"/>
          <s v="Oct"/>
          <s v="Nov"/>
          <s v="Dec"/>
          <s v="&gt;01/10/2026"/>
        </groupItems>
      </fieldGroup>
    </cacheField>
  </cacheFields>
  <extLst>
    <ext xmlns:x14="http://schemas.microsoft.com/office/spreadsheetml/2009/9/main" uri="{725AE2AE-9491-48be-B2B4-4EB974FC3084}">
      <x14:pivotCacheDefinition pivotCacheId="1159649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ORD-00001"/>
    <x v="0"/>
    <s v="13:15"/>
    <x v="0"/>
    <x v="0"/>
    <x v="0"/>
    <n v="1"/>
    <n v="9.9499999999999993"/>
    <n v="9.9499999999999993"/>
    <x v="0"/>
    <n v="3"/>
    <x v="0"/>
    <x v="0"/>
    <n v="9.9499999999999993"/>
    <b v="1"/>
  </r>
  <r>
    <s v="ORD-00002"/>
    <x v="1"/>
    <s v="12:15"/>
    <x v="0"/>
    <x v="1"/>
    <x v="1"/>
    <n v="2"/>
    <n v="3.1"/>
    <n v="6.2"/>
    <x v="0"/>
    <n v="7"/>
    <x v="1"/>
    <x v="0"/>
    <n v="6.2"/>
    <b v="1"/>
  </r>
  <r>
    <s v="ORD-00003"/>
    <x v="2"/>
    <s v="15:20"/>
    <x v="0"/>
    <x v="2"/>
    <x v="0"/>
    <n v="2"/>
    <n v="11.5"/>
    <n v="23"/>
    <x v="1"/>
    <n v="5"/>
    <x v="2"/>
    <x v="0"/>
    <n v="23"/>
    <b v="1"/>
  </r>
  <r>
    <s v="ORD-00004"/>
    <x v="3"/>
    <s v="14:05"/>
    <x v="0"/>
    <x v="3"/>
    <x v="2"/>
    <n v="2"/>
    <n v="8.5"/>
    <n v="17"/>
    <x v="2"/>
    <n v="9"/>
    <x v="0"/>
    <x v="0"/>
    <n v="17"/>
    <b v="1"/>
  </r>
  <r>
    <s v="ORD-00005"/>
    <x v="4"/>
    <s v="20:05"/>
    <x v="1"/>
    <x v="4"/>
    <x v="1"/>
    <n v="1"/>
    <n v="2.8"/>
    <n v="2.8"/>
    <x v="1"/>
    <n v="19"/>
    <x v="3"/>
    <x v="0"/>
    <n v="2.8"/>
    <b v="1"/>
  </r>
  <r>
    <s v="ORD-00006"/>
    <x v="5"/>
    <s v="12:20"/>
    <x v="0"/>
    <x v="5"/>
    <x v="0"/>
    <n v="2"/>
    <n v="12.95"/>
    <n v="25.9"/>
    <x v="1"/>
    <n v="13"/>
    <x v="4"/>
    <x v="0"/>
    <n v="25.9"/>
    <b v="1"/>
  </r>
  <r>
    <s v="ORD-00007"/>
    <x v="6"/>
    <s v="13:15"/>
    <x v="0"/>
    <x v="6"/>
    <x v="2"/>
    <n v="2"/>
    <n v="5.5"/>
    <n v="11"/>
    <x v="0"/>
    <n v="6"/>
    <x v="5"/>
    <x v="0"/>
    <n v="11"/>
    <b v="1"/>
  </r>
  <r>
    <s v="ORD-00008"/>
    <x v="7"/>
    <s v="14:20"/>
    <x v="0"/>
    <x v="4"/>
    <x v="1"/>
    <n v="1"/>
    <n v="2.8"/>
    <n v="2.8"/>
    <x v="2"/>
    <n v="27"/>
    <x v="1"/>
    <x v="0"/>
    <n v="2.8"/>
    <b v="1"/>
  </r>
  <r>
    <s v="ORD-00009"/>
    <x v="8"/>
    <s v="11:25"/>
    <x v="0"/>
    <x v="7"/>
    <x v="3"/>
    <n v="1"/>
    <n v="6.95"/>
    <n v="6.95"/>
    <x v="1"/>
    <n v="23"/>
    <x v="6"/>
    <x v="0"/>
    <n v="6.95"/>
    <b v="1"/>
  </r>
  <r>
    <s v="ORD-00010"/>
    <x v="9"/>
    <s v="22:35"/>
    <x v="1"/>
    <x v="8"/>
    <x v="0"/>
    <n v="1"/>
    <n v="14.5"/>
    <n v="14.5"/>
    <x v="0"/>
    <n v="24"/>
    <x v="7"/>
    <x v="0"/>
    <n v="14.5"/>
    <b v="1"/>
  </r>
  <r>
    <s v="ORD-00011"/>
    <x v="10"/>
    <s v="20:45"/>
    <x v="1"/>
    <x v="7"/>
    <x v="3"/>
    <n v="1"/>
    <n v="6.95"/>
    <n v="6.95"/>
    <x v="3"/>
    <n v="2"/>
    <x v="8"/>
    <x v="0"/>
    <n v="6.95"/>
    <b v="1"/>
  </r>
  <r>
    <s v="ORD-00012"/>
    <x v="11"/>
    <s v="22:30"/>
    <x v="1"/>
    <x v="9"/>
    <x v="1"/>
    <n v="1"/>
    <n v="3.75"/>
    <n v="3.75"/>
    <x v="3"/>
    <n v="20"/>
    <x v="9"/>
    <x v="0"/>
    <n v="3.75"/>
    <b v="1"/>
  </r>
  <r>
    <s v="ORD-00013"/>
    <x v="12"/>
    <s v="15:00"/>
    <x v="0"/>
    <x v="10"/>
    <x v="0"/>
    <n v="2"/>
    <n v="11.95"/>
    <n v="23.9"/>
    <x v="1"/>
    <n v="11"/>
    <x v="10"/>
    <x v="0"/>
    <n v="23.9"/>
    <b v="1"/>
  </r>
  <r>
    <s v="ORD-00014"/>
    <x v="13"/>
    <s v="11:55"/>
    <x v="0"/>
    <x v="6"/>
    <x v="2"/>
    <n v="4"/>
    <n v="5.5"/>
    <n v="-22"/>
    <x v="0"/>
    <n v="6"/>
    <x v="11"/>
    <x v="1"/>
    <n v="22"/>
    <b v="1"/>
  </r>
  <r>
    <s v="ORD-00015"/>
    <x v="14"/>
    <s v="19:50"/>
    <x v="1"/>
    <x v="1"/>
    <x v="1"/>
    <n v="2"/>
    <n v="3.1"/>
    <n v="6.2"/>
    <x v="3"/>
    <n v="25"/>
    <x v="0"/>
    <x v="0"/>
    <n v="6.2"/>
    <b v="1"/>
  </r>
  <r>
    <s v="ORD-00016"/>
    <x v="15"/>
    <s v="20:00"/>
    <x v="1"/>
    <x v="10"/>
    <x v="0"/>
    <n v="3"/>
    <n v="11.95"/>
    <n v="35.85"/>
    <x v="1"/>
    <n v="8"/>
    <x v="6"/>
    <x v="0"/>
    <n v="35.849999999999994"/>
    <b v="1"/>
  </r>
  <r>
    <s v="ORD-00017"/>
    <x v="16"/>
    <s v="14:05"/>
    <x v="0"/>
    <x v="4"/>
    <x v="1"/>
    <n v="2"/>
    <n v="2.8"/>
    <n v="5.6"/>
    <x v="1"/>
    <n v="6"/>
    <x v="1"/>
    <x v="0"/>
    <n v="5.6"/>
    <b v="1"/>
  </r>
  <r>
    <s v="ORD-00018"/>
    <x v="17"/>
    <s v="21:55"/>
    <x v="1"/>
    <x v="11"/>
    <x v="0"/>
    <n v="2"/>
    <n v="12.5"/>
    <n v="25"/>
    <x v="0"/>
    <n v="22"/>
    <x v="4"/>
    <x v="0"/>
    <n v="25"/>
    <b v="1"/>
  </r>
  <r>
    <s v="ORD-00019"/>
    <x v="18"/>
    <s v="20:05"/>
    <x v="1"/>
    <x v="0"/>
    <x v="0"/>
    <n v="1"/>
    <n v="9.9499999999999993"/>
    <n v="9.9499999999999993"/>
    <x v="1"/>
    <n v="19"/>
    <x v="12"/>
    <x v="0"/>
    <n v="9.9499999999999993"/>
    <b v="1"/>
  </r>
  <r>
    <s v="ORD-00020"/>
    <x v="19"/>
    <s v="17:15"/>
    <x v="1"/>
    <x v="5"/>
    <x v="0"/>
    <n v="3"/>
    <n v="12.95"/>
    <n v="38.85"/>
    <x v="0"/>
    <n v="3"/>
    <x v="13"/>
    <x v="0"/>
    <n v="38.849999999999994"/>
    <b v="1"/>
  </r>
  <r>
    <s v="ORD-00021"/>
    <x v="20"/>
    <s v="18:40"/>
    <x v="1"/>
    <x v="8"/>
    <x v="0"/>
    <n v="2"/>
    <n v="14.5"/>
    <n v="29"/>
    <x v="2"/>
    <n v="16"/>
    <x v="10"/>
    <x v="0"/>
    <n v="29"/>
    <b v="1"/>
  </r>
  <r>
    <s v="ORD-00022"/>
    <x v="21"/>
    <s v="14:25"/>
    <x v="0"/>
    <x v="12"/>
    <x v="3"/>
    <n v="1"/>
    <n v="7.25"/>
    <n v="7.25"/>
    <x v="0"/>
    <n v="2"/>
    <x v="14"/>
    <x v="0"/>
    <n v="7.25"/>
    <b v="1"/>
  </r>
  <r>
    <s v="ORD-00023"/>
    <x v="22"/>
    <s v="13:05"/>
    <x v="0"/>
    <x v="0"/>
    <x v="0"/>
    <n v="1"/>
    <n v="9.9499999999999993"/>
    <n v="9.9499999999999993"/>
    <x v="0"/>
    <n v="9"/>
    <x v="0"/>
    <x v="0"/>
    <n v="9.9499999999999993"/>
    <b v="1"/>
  </r>
  <r>
    <s v="ORD-00024"/>
    <x v="23"/>
    <s v="21:05"/>
    <x v="1"/>
    <x v="13"/>
    <x v="0"/>
    <n v="2"/>
    <n v="13.5"/>
    <n v="27"/>
    <x v="1"/>
    <n v="27"/>
    <x v="13"/>
    <x v="0"/>
    <n v="27"/>
    <b v="1"/>
  </r>
  <r>
    <s v="ORD-00025"/>
    <x v="24"/>
    <s v="18:10"/>
    <x v="1"/>
    <x v="12"/>
    <x v="3"/>
    <n v="1"/>
    <n v="7.25"/>
    <n v="7.25"/>
    <x v="0"/>
    <n v="6"/>
    <x v="15"/>
    <x v="0"/>
    <n v="7.25"/>
    <b v="1"/>
  </r>
  <r>
    <s v="ORD-00026"/>
    <x v="25"/>
    <s v="14:20"/>
    <x v="0"/>
    <x v="12"/>
    <x v="3"/>
    <n v="2"/>
    <n v="7.25"/>
    <n v="14.5"/>
    <x v="0"/>
    <n v="26"/>
    <x v="16"/>
    <x v="0"/>
    <n v="14.5"/>
    <b v="1"/>
  </r>
  <r>
    <s v="ORD-00027"/>
    <x v="26"/>
    <s v="13:15"/>
    <x v="0"/>
    <x v="13"/>
    <x v="0"/>
    <n v="1"/>
    <n v="13.5"/>
    <n v="13.5"/>
    <x v="0"/>
    <n v="2"/>
    <x v="17"/>
    <x v="0"/>
    <n v="13.5"/>
    <b v="1"/>
  </r>
  <r>
    <s v="ORD-00028"/>
    <x v="27"/>
    <s v="21:10"/>
    <x v="1"/>
    <x v="13"/>
    <x v="0"/>
    <n v="3"/>
    <n v="13.5"/>
    <n v="40.5"/>
    <x v="1"/>
    <n v="28"/>
    <x v="13"/>
    <x v="0"/>
    <n v="40.5"/>
    <b v="1"/>
  </r>
  <r>
    <s v="ORD-00029"/>
    <x v="28"/>
    <s v="18:30"/>
    <x v="1"/>
    <x v="10"/>
    <x v="0"/>
    <n v="3"/>
    <n v="11.95"/>
    <n v="35.85"/>
    <x v="1"/>
    <n v="20"/>
    <x v="17"/>
    <x v="0"/>
    <n v="35.849999999999994"/>
    <b v="1"/>
  </r>
  <r>
    <s v="ORD-00030"/>
    <x v="29"/>
    <s v="13:15"/>
    <x v="0"/>
    <x v="14"/>
    <x v="2"/>
    <n v="1"/>
    <n v="6.25"/>
    <n v="6.25"/>
    <x v="0"/>
    <n v="5"/>
    <x v="18"/>
    <x v="0"/>
    <n v="6.25"/>
    <b v="1"/>
  </r>
  <r>
    <s v="ORD-00031"/>
    <x v="30"/>
    <s v="17:00"/>
    <x v="1"/>
    <x v="15"/>
    <x v="3"/>
    <n v="2"/>
    <n v="5.75"/>
    <n v="11.5"/>
    <x v="0"/>
    <n v="7"/>
    <x v="6"/>
    <x v="0"/>
    <n v="11.5"/>
    <b v="1"/>
  </r>
  <r>
    <s v="ORD-00032"/>
    <x v="31"/>
    <s v="17:15"/>
    <x v="1"/>
    <x v="3"/>
    <x v="2"/>
    <n v="1"/>
    <n v="8.5"/>
    <n v="8.5"/>
    <x v="0"/>
    <n v="27"/>
    <x v="19"/>
    <x v="0"/>
    <n v="8.5"/>
    <b v="1"/>
  </r>
  <r>
    <s v="ORD-00033"/>
    <x v="32"/>
    <s v="22:40"/>
    <x v="1"/>
    <x v="2"/>
    <x v="0"/>
    <n v="2"/>
    <n v="11.5"/>
    <n v="23"/>
    <x v="1"/>
    <n v="29"/>
    <x v="8"/>
    <x v="0"/>
    <n v="23"/>
    <b v="1"/>
  </r>
  <r>
    <s v="ORD-00034"/>
    <x v="33"/>
    <s v="22:40"/>
    <x v="1"/>
    <x v="8"/>
    <x v="0"/>
    <n v="1"/>
    <n v="14.5"/>
    <n v="14.5"/>
    <x v="0"/>
    <n v="7"/>
    <x v="15"/>
    <x v="0"/>
    <n v="14.5"/>
    <b v="1"/>
  </r>
  <r>
    <s v="ORD-00035"/>
    <x v="34"/>
    <s v="19:40"/>
    <x v="1"/>
    <x v="16"/>
    <x v="1"/>
    <n v="1"/>
    <n v="3.25"/>
    <n v="3.25"/>
    <x v="1"/>
    <n v="9"/>
    <x v="20"/>
    <x v="0"/>
    <n v="3.25"/>
    <b v="1"/>
  </r>
  <r>
    <s v="ORD-00036"/>
    <x v="35"/>
    <s v="22:20"/>
    <x v="1"/>
    <x v="17"/>
    <x v="0"/>
    <n v="2"/>
    <n v="15.95"/>
    <n v="31.9"/>
    <x v="0"/>
    <n v="23"/>
    <x v="21"/>
    <x v="0"/>
    <n v="31.9"/>
    <b v="1"/>
  </r>
  <r>
    <s v="ORD-00037"/>
    <x v="36"/>
    <s v="12:40"/>
    <x v="0"/>
    <x v="13"/>
    <x v="0"/>
    <n v="2"/>
    <n v="13.5"/>
    <n v="27"/>
    <x v="1"/>
    <n v="2"/>
    <x v="22"/>
    <x v="0"/>
    <n v="27"/>
    <b v="1"/>
  </r>
  <r>
    <s v="ORD-00038"/>
    <x v="37"/>
    <s v="18:50"/>
    <x v="1"/>
    <x v="0"/>
    <x v="0"/>
    <n v="2"/>
    <n v="9.9499999999999993"/>
    <n v="19.899999999999999"/>
    <x v="0"/>
    <n v="25"/>
    <x v="8"/>
    <x v="0"/>
    <n v="19.899999999999999"/>
    <b v="1"/>
  </r>
  <r>
    <s v="ORD-00039"/>
    <x v="38"/>
    <s v="22:10"/>
    <x v="1"/>
    <x v="0"/>
    <x v="0"/>
    <n v="2"/>
    <n v="9.9499999999999993"/>
    <n v="19.899999999999999"/>
    <x v="3"/>
    <n v="24"/>
    <x v="17"/>
    <x v="0"/>
    <n v="19.899999999999999"/>
    <b v="1"/>
  </r>
  <r>
    <s v="ORD-00040"/>
    <x v="39"/>
    <s v="22:15"/>
    <x v="1"/>
    <x v="6"/>
    <x v="2"/>
    <n v="1"/>
    <n v="5.5"/>
    <n v="5.5"/>
    <x v="0"/>
    <n v="4"/>
    <x v="19"/>
    <x v="0"/>
    <n v="5.5"/>
    <b v="1"/>
  </r>
  <r>
    <s v="ORD-00041"/>
    <x v="40"/>
    <s v="18:15"/>
    <x v="1"/>
    <x v="15"/>
    <x v="3"/>
    <n v="1"/>
    <n v="5.75"/>
    <n v="5.75"/>
    <x v="1"/>
    <n v="13"/>
    <x v="13"/>
    <x v="0"/>
    <n v="5.75"/>
    <b v="1"/>
  </r>
  <r>
    <s v="ORD-00042"/>
    <x v="5"/>
    <s v="19:25"/>
    <x v="1"/>
    <x v="1"/>
    <x v="1"/>
    <n v="1"/>
    <n v="3.1"/>
    <n v="3.1"/>
    <x v="3"/>
    <n v="11"/>
    <x v="13"/>
    <x v="0"/>
    <n v="3.1"/>
    <b v="1"/>
  </r>
  <r>
    <s v="ORD-00043"/>
    <x v="33"/>
    <s v="19:10"/>
    <x v="1"/>
    <x v="18"/>
    <x v="1"/>
    <n v="3"/>
    <n v="6.5"/>
    <n v="19.5"/>
    <x v="0"/>
    <n v="12"/>
    <x v="17"/>
    <x v="0"/>
    <n v="19.5"/>
    <b v="1"/>
  </r>
  <r>
    <s v="ORD-00044"/>
    <x v="41"/>
    <s v="21:05"/>
    <x v="1"/>
    <x v="7"/>
    <x v="3"/>
    <n v="3"/>
    <n v="6.95"/>
    <n v="20.85"/>
    <x v="1"/>
    <n v="9"/>
    <x v="13"/>
    <x v="0"/>
    <n v="20.85"/>
    <b v="1"/>
  </r>
  <r>
    <s v="ORD-00045"/>
    <x v="42"/>
    <s v="15:50"/>
    <x v="0"/>
    <x v="11"/>
    <x v="0"/>
    <n v="1"/>
    <n v="12.5"/>
    <n v="12.5"/>
    <x v="1"/>
    <n v="20"/>
    <x v="15"/>
    <x v="0"/>
    <n v="12.5"/>
    <b v="1"/>
  </r>
  <r>
    <s v="ORD-00046"/>
    <x v="43"/>
    <s v="19:40"/>
    <x v="1"/>
    <x v="19"/>
    <x v="2"/>
    <n v="2"/>
    <n v="7.95"/>
    <n v="15.9"/>
    <x v="0"/>
    <n v="13"/>
    <x v="7"/>
    <x v="0"/>
    <n v="15.9"/>
    <b v="1"/>
  </r>
  <r>
    <s v="ORD-00047"/>
    <x v="44"/>
    <s v="14:50"/>
    <x v="0"/>
    <x v="17"/>
    <x v="0"/>
    <n v="2"/>
    <n v="15.95"/>
    <n v="31.9"/>
    <x v="1"/>
    <n v="10"/>
    <x v="16"/>
    <x v="0"/>
    <n v="31.9"/>
    <b v="1"/>
  </r>
  <r>
    <s v="ORD-00048"/>
    <x v="45"/>
    <s v="21:50"/>
    <x v="1"/>
    <x v="14"/>
    <x v="2"/>
    <n v="1"/>
    <n v="6.25"/>
    <n v="6.25"/>
    <x v="1"/>
    <n v="22"/>
    <x v="23"/>
    <x v="0"/>
    <n v="6.25"/>
    <b v="1"/>
  </r>
  <r>
    <s v="ORD-00049"/>
    <x v="46"/>
    <s v="22:10"/>
    <x v="1"/>
    <x v="5"/>
    <x v="0"/>
    <n v="1"/>
    <n v="12.95"/>
    <n v="12.95"/>
    <x v="3"/>
    <n v="27"/>
    <x v="10"/>
    <x v="0"/>
    <n v="12.95"/>
    <b v="1"/>
  </r>
  <r>
    <s v="ORD-00050"/>
    <x v="47"/>
    <s v="18:15"/>
    <x v="1"/>
    <x v="8"/>
    <x v="0"/>
    <n v="1"/>
    <n v="14.5"/>
    <n v="14.5"/>
    <x v="0"/>
    <n v="16"/>
    <x v="7"/>
    <x v="0"/>
    <n v="14.5"/>
    <b v="1"/>
  </r>
  <r>
    <s v="ORD-00051"/>
    <x v="48"/>
    <s v="22:45"/>
    <x v="1"/>
    <x v="11"/>
    <x v="0"/>
    <n v="2"/>
    <n v="12.5"/>
    <n v="25"/>
    <x v="0"/>
    <n v="21"/>
    <x v="7"/>
    <x v="0"/>
    <n v="25"/>
    <b v="1"/>
  </r>
  <r>
    <s v="ORD-00052"/>
    <x v="14"/>
    <s v="18:10"/>
    <x v="1"/>
    <x v="1"/>
    <x v="1"/>
    <n v="1"/>
    <n v="3.1"/>
    <n v="3.1"/>
    <x v="3"/>
    <n v="8"/>
    <x v="14"/>
    <x v="0"/>
    <n v="3.1"/>
    <b v="1"/>
  </r>
  <r>
    <s v="ORD-00053"/>
    <x v="49"/>
    <s v="20:50"/>
    <x v="1"/>
    <x v="1"/>
    <x v="1"/>
    <n v="4"/>
    <n v="3.1"/>
    <n v="12.4"/>
    <x v="0"/>
    <n v="15"/>
    <x v="24"/>
    <x v="0"/>
    <n v="12.4"/>
    <b v="1"/>
  </r>
  <r>
    <s v="ORD-00054"/>
    <x v="50"/>
    <s v="21:35"/>
    <x v="1"/>
    <x v="17"/>
    <x v="0"/>
    <n v="2"/>
    <n v="15.95"/>
    <n v="31.9"/>
    <x v="1"/>
    <n v="15"/>
    <x v="25"/>
    <x v="0"/>
    <n v="31.9"/>
    <b v="1"/>
  </r>
  <r>
    <s v="ORD-00055"/>
    <x v="51"/>
    <s v="19:40"/>
    <x v="1"/>
    <x v="16"/>
    <x v="1"/>
    <n v="2"/>
    <n v="3.25"/>
    <n v="6.5"/>
    <x v="1"/>
    <n v="8"/>
    <x v="3"/>
    <x v="0"/>
    <n v="6.5"/>
    <b v="1"/>
  </r>
  <r>
    <s v="ORD-00056"/>
    <x v="52"/>
    <s v="17:10"/>
    <x v="1"/>
    <x v="8"/>
    <x v="0"/>
    <n v="1"/>
    <n v="14.5"/>
    <n v="14.5"/>
    <x v="0"/>
    <n v="5"/>
    <x v="21"/>
    <x v="0"/>
    <n v="14.5"/>
    <b v="1"/>
  </r>
  <r>
    <s v="ORD-00057"/>
    <x v="53"/>
    <s v="19:40"/>
    <x v="1"/>
    <x v="15"/>
    <x v="3"/>
    <n v="1"/>
    <n v="5.75"/>
    <n v="5.75"/>
    <x v="0"/>
    <n v="25"/>
    <x v="6"/>
    <x v="0"/>
    <n v="5.75"/>
    <b v="1"/>
  </r>
  <r>
    <s v="ORD-00058"/>
    <x v="54"/>
    <s v="21:30"/>
    <x v="1"/>
    <x v="16"/>
    <x v="1"/>
    <n v="1"/>
    <n v="3.25"/>
    <n v="3.25"/>
    <x v="2"/>
    <n v="10"/>
    <x v="4"/>
    <x v="0"/>
    <n v="3.25"/>
    <b v="1"/>
  </r>
  <r>
    <s v="ORD-00059"/>
    <x v="2"/>
    <s v="22:40"/>
    <x v="1"/>
    <x v="9"/>
    <x v="1"/>
    <n v="3"/>
    <n v="3.75"/>
    <n v="11.25"/>
    <x v="0"/>
    <n v="1"/>
    <x v="2"/>
    <x v="0"/>
    <n v="11.25"/>
    <b v="1"/>
  </r>
  <r>
    <s v="ORD-00060"/>
    <x v="55"/>
    <s v="20:10"/>
    <x v="1"/>
    <x v="9"/>
    <x v="1"/>
    <n v="1"/>
    <n v="3.75"/>
    <n v="3.75"/>
    <x v="0"/>
    <n v="19"/>
    <x v="19"/>
    <x v="0"/>
    <n v="3.75"/>
    <b v="1"/>
  </r>
  <r>
    <s v="ORD-00061"/>
    <x v="56"/>
    <s v="14:10"/>
    <x v="0"/>
    <x v="15"/>
    <x v="3"/>
    <n v="1"/>
    <n v="5.75"/>
    <n v="5.75"/>
    <x v="1"/>
    <n v="11"/>
    <x v="9"/>
    <x v="0"/>
    <n v="5.75"/>
    <b v="1"/>
  </r>
  <r>
    <s v="ORD-00062"/>
    <x v="57"/>
    <s v="14:20"/>
    <x v="0"/>
    <x v="5"/>
    <x v="0"/>
    <n v="1"/>
    <n v="12.95"/>
    <n v="0"/>
    <x v="1"/>
    <n v="18"/>
    <x v="20"/>
    <x v="2"/>
    <n v="12.95"/>
    <b v="1"/>
  </r>
  <r>
    <s v="ORD-00063"/>
    <x v="58"/>
    <s v="11:50"/>
    <x v="0"/>
    <x v="13"/>
    <x v="0"/>
    <n v="2"/>
    <n v="13.5"/>
    <n v="27"/>
    <x v="1"/>
    <n v="5"/>
    <x v="10"/>
    <x v="0"/>
    <n v="27"/>
    <b v="1"/>
  </r>
  <r>
    <s v="ORD-00064"/>
    <x v="46"/>
    <s v="21:15"/>
    <x v="1"/>
    <x v="15"/>
    <x v="3"/>
    <n v="2"/>
    <n v="5.75"/>
    <n v="-11.5"/>
    <x v="1"/>
    <n v="12"/>
    <x v="13"/>
    <x v="1"/>
    <n v="11.5"/>
    <b v="1"/>
  </r>
  <r>
    <s v="ORD-00065"/>
    <x v="59"/>
    <s v="18:20"/>
    <x v="1"/>
    <x v="10"/>
    <x v="0"/>
    <n v="1"/>
    <n v="11.95"/>
    <n v="11.95"/>
    <x v="0"/>
    <n v="13"/>
    <x v="24"/>
    <x v="0"/>
    <n v="11.95"/>
    <b v="1"/>
  </r>
  <r>
    <s v="ORD-00066"/>
    <x v="60"/>
    <s v="12:05"/>
    <x v="0"/>
    <x v="19"/>
    <x v="2"/>
    <n v="2"/>
    <n v="7.95"/>
    <n v="15.9"/>
    <x v="1"/>
    <n v="26"/>
    <x v="22"/>
    <x v="0"/>
    <n v="15.9"/>
    <b v="1"/>
  </r>
  <r>
    <s v="ORD-00067"/>
    <x v="61"/>
    <s v="14:50"/>
    <x v="0"/>
    <x v="3"/>
    <x v="2"/>
    <n v="1"/>
    <n v="8.5"/>
    <n v="8.5"/>
    <x v="0"/>
    <n v="27"/>
    <x v="22"/>
    <x v="0"/>
    <n v="8.5"/>
    <b v="1"/>
  </r>
  <r>
    <s v="ORD-00068"/>
    <x v="62"/>
    <s v="22:35"/>
    <x v="1"/>
    <x v="8"/>
    <x v="0"/>
    <n v="1"/>
    <n v="14.5"/>
    <n v="14.5"/>
    <x v="3"/>
    <n v="17"/>
    <x v="25"/>
    <x v="0"/>
    <n v="14.5"/>
    <b v="1"/>
  </r>
  <r>
    <s v="ORD-00069"/>
    <x v="63"/>
    <s v="21:35"/>
    <x v="1"/>
    <x v="15"/>
    <x v="3"/>
    <n v="1"/>
    <n v="5.75"/>
    <n v="5.75"/>
    <x v="2"/>
    <n v="8"/>
    <x v="7"/>
    <x v="0"/>
    <n v="5.75"/>
    <b v="1"/>
  </r>
  <r>
    <s v="ORD-00070"/>
    <x v="64"/>
    <s v="14:15"/>
    <x v="0"/>
    <x v="15"/>
    <x v="3"/>
    <n v="1"/>
    <n v="5.75"/>
    <n v="5.75"/>
    <x v="1"/>
    <n v="13"/>
    <x v="14"/>
    <x v="0"/>
    <n v="5.75"/>
    <b v="1"/>
  </r>
  <r>
    <s v="ORD-00071"/>
    <x v="65"/>
    <s v="18:35"/>
    <x v="1"/>
    <x v="11"/>
    <x v="0"/>
    <n v="1"/>
    <n v="12.5"/>
    <n v="12.5"/>
    <x v="3"/>
    <n v="23"/>
    <x v="14"/>
    <x v="0"/>
    <n v="12.5"/>
    <b v="1"/>
  </r>
  <r>
    <s v="ORD-00072"/>
    <x v="66"/>
    <s v="18:05"/>
    <x v="1"/>
    <x v="0"/>
    <x v="0"/>
    <n v="2"/>
    <n v="9.9499999999999993"/>
    <n v="19.899999999999999"/>
    <x v="2"/>
    <n v="18"/>
    <x v="26"/>
    <x v="0"/>
    <n v="19.899999999999999"/>
    <b v="1"/>
  </r>
  <r>
    <s v="ORD-00073"/>
    <x v="67"/>
    <s v="20:35"/>
    <x v="1"/>
    <x v="2"/>
    <x v="0"/>
    <n v="1"/>
    <n v="11.5"/>
    <n v="11.5"/>
    <x v="0"/>
    <n v="22"/>
    <x v="10"/>
    <x v="0"/>
    <n v="11.5"/>
    <b v="1"/>
  </r>
  <r>
    <s v="ORD-00074"/>
    <x v="46"/>
    <s v="19:30"/>
    <x v="1"/>
    <x v="4"/>
    <x v="1"/>
    <n v="1"/>
    <n v="2.8"/>
    <n v="2.8"/>
    <x v="1"/>
    <n v="15"/>
    <x v="7"/>
    <x v="0"/>
    <n v="2.8"/>
    <b v="1"/>
  </r>
  <r>
    <s v="ORD-00075"/>
    <x v="68"/>
    <s v="12:25"/>
    <x v="0"/>
    <x v="10"/>
    <x v="0"/>
    <n v="2"/>
    <n v="11.95"/>
    <n v="-23.9"/>
    <x v="0"/>
    <n v="24"/>
    <x v="2"/>
    <x v="1"/>
    <n v="23.9"/>
    <b v="1"/>
  </r>
  <r>
    <s v="ORD-00076"/>
    <x v="69"/>
    <s v="17:15"/>
    <x v="1"/>
    <x v="19"/>
    <x v="2"/>
    <n v="1"/>
    <n v="7.95"/>
    <n v="7.95"/>
    <x v="1"/>
    <n v="10"/>
    <x v="10"/>
    <x v="0"/>
    <n v="7.95"/>
    <b v="1"/>
  </r>
  <r>
    <s v="ORD-00077"/>
    <x v="70"/>
    <s v="11:40"/>
    <x v="0"/>
    <x v="19"/>
    <x v="2"/>
    <n v="2"/>
    <n v="7.95"/>
    <n v="15.9"/>
    <x v="3"/>
    <n v="4"/>
    <x v="22"/>
    <x v="0"/>
    <n v="15.9"/>
    <b v="1"/>
  </r>
  <r>
    <s v="ORD-00078"/>
    <x v="71"/>
    <s v="20:25"/>
    <x v="1"/>
    <x v="17"/>
    <x v="0"/>
    <n v="3"/>
    <n v="15.95"/>
    <n v="47.85"/>
    <x v="0"/>
    <n v="28"/>
    <x v="9"/>
    <x v="0"/>
    <n v="47.849999999999994"/>
    <b v="1"/>
  </r>
  <r>
    <s v="ORD-00079"/>
    <x v="72"/>
    <s v="17:45"/>
    <x v="1"/>
    <x v="13"/>
    <x v="0"/>
    <n v="1"/>
    <n v="13.5"/>
    <n v="13.5"/>
    <x v="1"/>
    <n v="8"/>
    <x v="6"/>
    <x v="0"/>
    <n v="13.5"/>
    <b v="1"/>
  </r>
  <r>
    <s v="ORD-00080"/>
    <x v="73"/>
    <s v="21:15"/>
    <x v="1"/>
    <x v="1"/>
    <x v="1"/>
    <n v="1"/>
    <n v="3.1"/>
    <n v="3.1"/>
    <x v="3"/>
    <n v="10"/>
    <x v="9"/>
    <x v="0"/>
    <n v="3.1"/>
    <b v="1"/>
  </r>
  <r>
    <s v="ORD-00081"/>
    <x v="74"/>
    <s v="15:00"/>
    <x v="0"/>
    <x v="9"/>
    <x v="1"/>
    <n v="3"/>
    <n v="3.75"/>
    <n v="11.25"/>
    <x v="1"/>
    <n v="7"/>
    <x v="9"/>
    <x v="0"/>
    <n v="11.25"/>
    <b v="1"/>
  </r>
  <r>
    <s v="ORD-00082"/>
    <x v="75"/>
    <s v="12:40"/>
    <x v="0"/>
    <x v="5"/>
    <x v="0"/>
    <n v="1"/>
    <n v="12.95"/>
    <n v="12.95"/>
    <x v="0"/>
    <n v="15"/>
    <x v="2"/>
    <x v="0"/>
    <n v="12.95"/>
    <b v="1"/>
  </r>
  <r>
    <s v="ORD-00083"/>
    <x v="76"/>
    <s v="12:20"/>
    <x v="0"/>
    <x v="19"/>
    <x v="2"/>
    <n v="2"/>
    <n v="7.95"/>
    <n v="15.9"/>
    <x v="2"/>
    <n v="9"/>
    <x v="19"/>
    <x v="0"/>
    <n v="15.9"/>
    <b v="1"/>
  </r>
  <r>
    <s v="ORD-00084"/>
    <x v="60"/>
    <s v="21:15"/>
    <x v="1"/>
    <x v="8"/>
    <x v="0"/>
    <n v="3"/>
    <n v="14.5"/>
    <n v="43.5"/>
    <x v="1"/>
    <n v="3"/>
    <x v="13"/>
    <x v="0"/>
    <n v="43.5"/>
    <b v="1"/>
  </r>
  <r>
    <s v="ORD-00085"/>
    <x v="77"/>
    <s v="21:20"/>
    <x v="1"/>
    <x v="15"/>
    <x v="3"/>
    <n v="1"/>
    <n v="5.75"/>
    <n v="5.75"/>
    <x v="0"/>
    <n v="9"/>
    <x v="8"/>
    <x v="0"/>
    <n v="5.75"/>
    <b v="1"/>
  </r>
  <r>
    <s v="ORD-00086"/>
    <x v="78"/>
    <s v="21:00"/>
    <x v="1"/>
    <x v="12"/>
    <x v="3"/>
    <n v="2"/>
    <n v="7.25"/>
    <n v="14.5"/>
    <x v="1"/>
    <n v="9"/>
    <x v="27"/>
    <x v="0"/>
    <n v="14.5"/>
    <b v="1"/>
  </r>
  <r>
    <s v="ORD-00087"/>
    <x v="79"/>
    <s v="21:45"/>
    <x v="1"/>
    <x v="2"/>
    <x v="0"/>
    <n v="4"/>
    <n v="11.5"/>
    <n v="46"/>
    <x v="2"/>
    <n v="25"/>
    <x v="21"/>
    <x v="0"/>
    <n v="46"/>
    <b v="1"/>
  </r>
  <r>
    <s v="ORD-00088"/>
    <x v="76"/>
    <s v="20:20"/>
    <x v="1"/>
    <x v="17"/>
    <x v="0"/>
    <n v="4"/>
    <n v="15.95"/>
    <n v="63.8"/>
    <x v="2"/>
    <n v="21"/>
    <x v="9"/>
    <x v="0"/>
    <n v="63.8"/>
    <b v="1"/>
  </r>
  <r>
    <s v="ORD-00089"/>
    <x v="80"/>
    <s v="20:25"/>
    <x v="1"/>
    <x v="14"/>
    <x v="2"/>
    <n v="2"/>
    <n v="6.25"/>
    <n v="12.5"/>
    <x v="0"/>
    <n v="10"/>
    <x v="7"/>
    <x v="0"/>
    <n v="12.5"/>
    <b v="1"/>
  </r>
  <r>
    <s v="ORD-00090"/>
    <x v="81"/>
    <s v="21:00"/>
    <x v="1"/>
    <x v="15"/>
    <x v="3"/>
    <n v="1"/>
    <n v="5.75"/>
    <n v="5.75"/>
    <x v="1"/>
    <n v="11"/>
    <x v="15"/>
    <x v="0"/>
    <n v="5.75"/>
    <b v="1"/>
  </r>
  <r>
    <s v="ORD-00091"/>
    <x v="82"/>
    <s v="17:50"/>
    <x v="1"/>
    <x v="4"/>
    <x v="1"/>
    <n v="1"/>
    <n v="2.8"/>
    <n v="2.8"/>
    <x v="0"/>
    <n v="25"/>
    <x v="7"/>
    <x v="0"/>
    <n v="2.8"/>
    <b v="1"/>
  </r>
  <r>
    <s v="ORD-00092"/>
    <x v="83"/>
    <s v="18:20"/>
    <x v="1"/>
    <x v="4"/>
    <x v="1"/>
    <n v="1"/>
    <n v="2.8"/>
    <n v="2.8"/>
    <x v="3"/>
    <n v="15"/>
    <x v="20"/>
    <x v="0"/>
    <n v="2.8"/>
    <b v="1"/>
  </r>
  <r>
    <s v="ORD-00093"/>
    <x v="84"/>
    <s v="15:15"/>
    <x v="0"/>
    <x v="17"/>
    <x v="0"/>
    <n v="1"/>
    <n v="15.95"/>
    <n v="15.95"/>
    <x v="3"/>
    <n v="27"/>
    <x v="14"/>
    <x v="0"/>
    <n v="15.95"/>
    <b v="1"/>
  </r>
  <r>
    <s v="ORD-00094"/>
    <x v="85"/>
    <s v="22:10"/>
    <x v="1"/>
    <x v="16"/>
    <x v="1"/>
    <n v="3"/>
    <n v="3.25"/>
    <n v="9.75"/>
    <x v="0"/>
    <n v="17"/>
    <x v="9"/>
    <x v="0"/>
    <n v="9.75"/>
    <b v="1"/>
  </r>
  <r>
    <s v="ORD-00095"/>
    <x v="86"/>
    <s v="20:15"/>
    <x v="1"/>
    <x v="15"/>
    <x v="3"/>
    <n v="1"/>
    <n v="5.75"/>
    <n v="5.75"/>
    <x v="3"/>
    <n v="24"/>
    <x v="6"/>
    <x v="0"/>
    <n v="5.75"/>
    <b v="1"/>
  </r>
  <r>
    <s v="ORD-00096"/>
    <x v="5"/>
    <s v="14:25"/>
    <x v="0"/>
    <x v="1"/>
    <x v="1"/>
    <n v="1"/>
    <n v="3.1"/>
    <n v="3.1"/>
    <x v="0"/>
    <n v="10"/>
    <x v="10"/>
    <x v="0"/>
    <n v="3.1"/>
    <b v="1"/>
  </r>
  <r>
    <s v="ORD-00097"/>
    <x v="87"/>
    <s v="20:40"/>
    <x v="1"/>
    <x v="16"/>
    <x v="1"/>
    <n v="1"/>
    <n v="3.25"/>
    <n v="3.25"/>
    <x v="1"/>
    <n v="30"/>
    <x v="14"/>
    <x v="0"/>
    <n v="3.25"/>
    <b v="1"/>
  </r>
  <r>
    <s v="ORD-00098"/>
    <x v="88"/>
    <s v="18:45"/>
    <x v="1"/>
    <x v="7"/>
    <x v="3"/>
    <n v="1"/>
    <n v="6.95"/>
    <n v="-6.95"/>
    <x v="1"/>
    <n v="14"/>
    <x v="2"/>
    <x v="1"/>
    <n v="6.95"/>
    <b v="1"/>
  </r>
  <r>
    <s v="ORD-00099"/>
    <x v="46"/>
    <s v="20:30"/>
    <x v="1"/>
    <x v="8"/>
    <x v="0"/>
    <n v="1"/>
    <n v="14.5"/>
    <n v="14.5"/>
    <x v="3"/>
    <n v="11"/>
    <x v="26"/>
    <x v="0"/>
    <n v="14.5"/>
    <b v="1"/>
  </r>
  <r>
    <s v="ORD-00100"/>
    <x v="89"/>
    <s v="14:00"/>
    <x v="0"/>
    <x v="8"/>
    <x v="0"/>
    <n v="1"/>
    <n v="14.5"/>
    <n v="14.5"/>
    <x v="1"/>
    <n v="5"/>
    <x v="12"/>
    <x v="0"/>
    <n v="14.5"/>
    <b v="1"/>
  </r>
  <r>
    <s v="ORD-00101"/>
    <x v="90"/>
    <s v="14:50"/>
    <x v="0"/>
    <x v="5"/>
    <x v="0"/>
    <n v="2"/>
    <n v="12.95"/>
    <n v="25.9"/>
    <x v="0"/>
    <n v="11"/>
    <x v="19"/>
    <x v="0"/>
    <n v="25.9"/>
    <b v="1"/>
  </r>
  <r>
    <s v="ORD-00102"/>
    <x v="26"/>
    <s v="17:45"/>
    <x v="1"/>
    <x v="5"/>
    <x v="0"/>
    <n v="1"/>
    <n v="12.95"/>
    <n v="12.95"/>
    <x v="1"/>
    <n v="30"/>
    <x v="7"/>
    <x v="0"/>
    <n v="12.95"/>
    <b v="1"/>
  </r>
  <r>
    <s v="ORD-00103"/>
    <x v="91"/>
    <s v="20:05"/>
    <x v="1"/>
    <x v="10"/>
    <x v="0"/>
    <n v="1"/>
    <n v="11.95"/>
    <n v="11.95"/>
    <x v="2"/>
    <n v="11"/>
    <x v="19"/>
    <x v="0"/>
    <n v="11.95"/>
    <b v="1"/>
  </r>
  <r>
    <s v="ORD-00104"/>
    <x v="92"/>
    <s v="14:10"/>
    <x v="0"/>
    <x v="0"/>
    <x v="0"/>
    <n v="1"/>
    <n v="9.9499999999999993"/>
    <n v="9.9499999999999993"/>
    <x v="2"/>
    <n v="22"/>
    <x v="8"/>
    <x v="0"/>
    <n v="9.9499999999999993"/>
    <b v="1"/>
  </r>
  <r>
    <s v="ORD-00105"/>
    <x v="93"/>
    <s v="15:30"/>
    <x v="0"/>
    <x v="9"/>
    <x v="1"/>
    <n v="2"/>
    <n v="3.75"/>
    <n v="7.5"/>
    <x v="0"/>
    <n v="15"/>
    <x v="5"/>
    <x v="0"/>
    <n v="7.5"/>
    <b v="1"/>
  </r>
  <r>
    <s v="ORD-00106"/>
    <x v="4"/>
    <s v="11:35"/>
    <x v="0"/>
    <x v="19"/>
    <x v="2"/>
    <n v="2"/>
    <n v="7.95"/>
    <n v="15.9"/>
    <x v="0"/>
    <n v="3"/>
    <x v="2"/>
    <x v="0"/>
    <n v="15.9"/>
    <b v="1"/>
  </r>
  <r>
    <s v="ORD-00107"/>
    <x v="94"/>
    <s v="19:50"/>
    <x v="1"/>
    <x v="12"/>
    <x v="3"/>
    <n v="2"/>
    <n v="7.25"/>
    <n v="14.5"/>
    <x v="3"/>
    <n v="13"/>
    <x v="6"/>
    <x v="0"/>
    <n v="14.5"/>
    <b v="1"/>
  </r>
  <r>
    <s v="ORD-00108"/>
    <x v="14"/>
    <s v="15:25"/>
    <x v="0"/>
    <x v="18"/>
    <x v="1"/>
    <n v="1"/>
    <n v="6.5"/>
    <n v="6.5"/>
    <x v="1"/>
    <n v="10"/>
    <x v="11"/>
    <x v="0"/>
    <n v="6.5"/>
    <b v="1"/>
  </r>
  <r>
    <s v="ORD-00109"/>
    <x v="95"/>
    <s v="15:50"/>
    <x v="0"/>
    <x v="13"/>
    <x v="0"/>
    <n v="3"/>
    <n v="13.5"/>
    <n v="0"/>
    <x v="2"/>
    <n v="10"/>
    <x v="11"/>
    <x v="2"/>
    <n v="40.5"/>
    <b v="1"/>
  </r>
  <r>
    <s v="ORD-00110"/>
    <x v="79"/>
    <s v="19:15"/>
    <x v="1"/>
    <x v="11"/>
    <x v="0"/>
    <n v="2"/>
    <n v="12.5"/>
    <n v="25"/>
    <x v="0"/>
    <n v="25"/>
    <x v="17"/>
    <x v="0"/>
    <n v="25"/>
    <b v="1"/>
  </r>
  <r>
    <s v="ORD-00111"/>
    <x v="96"/>
    <s v="22:50"/>
    <x v="1"/>
    <x v="13"/>
    <x v="0"/>
    <n v="1"/>
    <n v="13.5"/>
    <n v="13.5"/>
    <x v="1"/>
    <n v="5"/>
    <x v="27"/>
    <x v="0"/>
    <n v="13.5"/>
    <b v="1"/>
  </r>
  <r>
    <s v="ORD-00112"/>
    <x v="97"/>
    <s v="14:10"/>
    <x v="0"/>
    <x v="11"/>
    <x v="0"/>
    <n v="1"/>
    <n v="12.5"/>
    <n v="12.5"/>
    <x v="3"/>
    <n v="29"/>
    <x v="8"/>
    <x v="0"/>
    <n v="12.5"/>
    <b v="1"/>
  </r>
  <r>
    <s v="ORD-00113"/>
    <x v="98"/>
    <s v="19:10"/>
    <x v="1"/>
    <x v="6"/>
    <x v="2"/>
    <n v="3"/>
    <n v="5.5"/>
    <n v="16.5"/>
    <x v="1"/>
    <n v="28"/>
    <x v="18"/>
    <x v="0"/>
    <n v="16.5"/>
    <b v="1"/>
  </r>
  <r>
    <s v="ORD-00114"/>
    <x v="59"/>
    <s v="17:10"/>
    <x v="1"/>
    <x v="0"/>
    <x v="0"/>
    <n v="2"/>
    <n v="9.9499999999999993"/>
    <n v="19.899999999999999"/>
    <x v="3"/>
    <n v="22"/>
    <x v="20"/>
    <x v="0"/>
    <n v="19.899999999999999"/>
    <b v="1"/>
  </r>
  <r>
    <s v="ORD-00115"/>
    <x v="99"/>
    <s v="14:00"/>
    <x v="0"/>
    <x v="6"/>
    <x v="2"/>
    <n v="1"/>
    <n v="5.5"/>
    <n v="5.5"/>
    <x v="0"/>
    <n v="9"/>
    <x v="22"/>
    <x v="0"/>
    <n v="5.5"/>
    <b v="1"/>
  </r>
  <r>
    <s v="ORD-00116"/>
    <x v="100"/>
    <s v="12:35"/>
    <x v="0"/>
    <x v="2"/>
    <x v="0"/>
    <n v="2"/>
    <n v="11.5"/>
    <n v="23"/>
    <x v="3"/>
    <n v="11"/>
    <x v="21"/>
    <x v="0"/>
    <n v="23"/>
    <b v="1"/>
  </r>
  <r>
    <s v="ORD-00117"/>
    <x v="101"/>
    <s v="22:35"/>
    <x v="1"/>
    <x v="19"/>
    <x v="2"/>
    <n v="2"/>
    <n v="7.95"/>
    <n v="15.9"/>
    <x v="3"/>
    <n v="10"/>
    <x v="25"/>
    <x v="0"/>
    <n v="15.9"/>
    <b v="1"/>
  </r>
  <r>
    <s v="ORD-00118"/>
    <x v="33"/>
    <s v="15:10"/>
    <x v="0"/>
    <x v="7"/>
    <x v="3"/>
    <n v="1"/>
    <n v="6.95"/>
    <n v="6.95"/>
    <x v="0"/>
    <n v="24"/>
    <x v="12"/>
    <x v="0"/>
    <n v="6.95"/>
    <b v="1"/>
  </r>
  <r>
    <s v="ORD-00119"/>
    <x v="2"/>
    <s v="22:10"/>
    <x v="1"/>
    <x v="12"/>
    <x v="3"/>
    <n v="2"/>
    <n v="7.25"/>
    <n v="14.5"/>
    <x v="1"/>
    <n v="9"/>
    <x v="22"/>
    <x v="0"/>
    <n v="14.5"/>
    <b v="1"/>
  </r>
  <r>
    <s v="ORD-00120"/>
    <x v="102"/>
    <s v="14:15"/>
    <x v="0"/>
    <x v="3"/>
    <x v="2"/>
    <n v="1"/>
    <n v="8.5"/>
    <n v="8.5"/>
    <x v="0"/>
    <n v="12"/>
    <x v="16"/>
    <x v="0"/>
    <n v="8.5"/>
    <b v="1"/>
  </r>
  <r>
    <s v="ORD-00121"/>
    <x v="103"/>
    <s v="13:15"/>
    <x v="0"/>
    <x v="10"/>
    <x v="0"/>
    <n v="3"/>
    <n v="11.95"/>
    <n v="35.85"/>
    <x v="0"/>
    <n v="21"/>
    <x v="19"/>
    <x v="0"/>
    <n v="35.849999999999994"/>
    <b v="1"/>
  </r>
  <r>
    <s v="ORD-00122"/>
    <x v="54"/>
    <s v="13:15"/>
    <x v="0"/>
    <x v="8"/>
    <x v="0"/>
    <n v="2"/>
    <n v="14.5"/>
    <n v="29"/>
    <x v="2"/>
    <n v="3"/>
    <x v="20"/>
    <x v="0"/>
    <n v="29"/>
    <b v="1"/>
  </r>
  <r>
    <s v="ORD-00123"/>
    <x v="104"/>
    <s v="18:25"/>
    <x v="1"/>
    <x v="8"/>
    <x v="0"/>
    <n v="2"/>
    <n v="14.5"/>
    <n v="29"/>
    <x v="3"/>
    <n v="5"/>
    <x v="28"/>
    <x v="0"/>
    <n v="29"/>
    <b v="1"/>
  </r>
  <r>
    <s v="ORD-00124"/>
    <x v="68"/>
    <s v="17:50"/>
    <x v="1"/>
    <x v="2"/>
    <x v="0"/>
    <n v="1"/>
    <n v="11.5"/>
    <n v="11.5"/>
    <x v="2"/>
    <n v="26"/>
    <x v="17"/>
    <x v="0"/>
    <n v="11.5"/>
    <b v="1"/>
  </r>
  <r>
    <s v="ORD-00125"/>
    <x v="105"/>
    <s v="13:00"/>
    <x v="0"/>
    <x v="8"/>
    <x v="0"/>
    <n v="2"/>
    <n v="14.5"/>
    <n v="29"/>
    <x v="2"/>
    <n v="15"/>
    <x v="8"/>
    <x v="0"/>
    <n v="29"/>
    <b v="1"/>
  </r>
  <r>
    <s v="ORD-00126"/>
    <x v="106"/>
    <s v="20:40"/>
    <x v="1"/>
    <x v="0"/>
    <x v="0"/>
    <n v="3"/>
    <n v="9.9499999999999993"/>
    <n v="29.85"/>
    <x v="2"/>
    <n v="24"/>
    <x v="13"/>
    <x v="0"/>
    <n v="29.849999999999998"/>
    <b v="1"/>
  </r>
  <r>
    <s v="ORD-00127"/>
    <x v="107"/>
    <s v="11:00"/>
    <x v="0"/>
    <x v="16"/>
    <x v="1"/>
    <n v="2"/>
    <n v="3.25"/>
    <n v="6.5"/>
    <x v="0"/>
    <n v="30"/>
    <x v="16"/>
    <x v="0"/>
    <n v="6.5"/>
    <b v="1"/>
  </r>
  <r>
    <s v="ORD-00128"/>
    <x v="75"/>
    <s v="12:05"/>
    <x v="0"/>
    <x v="8"/>
    <x v="0"/>
    <n v="1"/>
    <n v="14.5"/>
    <n v="14.5"/>
    <x v="0"/>
    <n v="19"/>
    <x v="22"/>
    <x v="0"/>
    <n v="14.5"/>
    <b v="1"/>
  </r>
  <r>
    <s v="ORD-00129"/>
    <x v="108"/>
    <s v="21:40"/>
    <x v="1"/>
    <x v="19"/>
    <x v="2"/>
    <n v="1"/>
    <n v="7.95"/>
    <n v="7.95"/>
    <x v="3"/>
    <n v="4"/>
    <x v="0"/>
    <x v="0"/>
    <n v="7.95"/>
    <b v="1"/>
  </r>
  <r>
    <s v="ORD-00130"/>
    <x v="109"/>
    <s v="18:30"/>
    <x v="1"/>
    <x v="14"/>
    <x v="2"/>
    <n v="2"/>
    <n v="6.25"/>
    <n v="12.5"/>
    <x v="0"/>
    <n v="14"/>
    <x v="18"/>
    <x v="0"/>
    <n v="12.5"/>
    <b v="1"/>
  </r>
  <r>
    <s v="ORD-00131"/>
    <x v="41"/>
    <s v="22:20"/>
    <x v="1"/>
    <x v="3"/>
    <x v="2"/>
    <n v="3"/>
    <n v="8.5"/>
    <n v="25.5"/>
    <x v="1"/>
    <n v="27"/>
    <x v="13"/>
    <x v="0"/>
    <n v="25.5"/>
    <b v="1"/>
  </r>
  <r>
    <s v="ORD-00132"/>
    <x v="62"/>
    <s v="13:10"/>
    <x v="0"/>
    <x v="4"/>
    <x v="1"/>
    <n v="1"/>
    <n v="2.8"/>
    <n v="2.8"/>
    <x v="1"/>
    <n v="18"/>
    <x v="4"/>
    <x v="0"/>
    <n v="2.8"/>
    <b v="1"/>
  </r>
  <r>
    <s v="ORD-00133"/>
    <x v="49"/>
    <s v="22:30"/>
    <x v="1"/>
    <x v="13"/>
    <x v="0"/>
    <n v="3"/>
    <n v="13.5"/>
    <n v="40.5"/>
    <x v="1"/>
    <n v="17"/>
    <x v="20"/>
    <x v="0"/>
    <n v="40.5"/>
    <b v="1"/>
  </r>
  <r>
    <s v="ORD-00134"/>
    <x v="110"/>
    <s v="11:25"/>
    <x v="0"/>
    <x v="4"/>
    <x v="1"/>
    <n v="1"/>
    <n v="2.8"/>
    <n v="-2.8"/>
    <x v="0"/>
    <n v="9"/>
    <x v="5"/>
    <x v="1"/>
    <n v="2.8"/>
    <b v="1"/>
  </r>
  <r>
    <s v="ORD-00135"/>
    <x v="74"/>
    <s v="21:45"/>
    <x v="1"/>
    <x v="4"/>
    <x v="1"/>
    <n v="1"/>
    <n v="2.8"/>
    <n v="2.8"/>
    <x v="1"/>
    <n v="6"/>
    <x v="7"/>
    <x v="0"/>
    <n v="2.8"/>
    <b v="1"/>
  </r>
  <r>
    <s v="ORD-00136"/>
    <x v="111"/>
    <s v="19:00"/>
    <x v="1"/>
    <x v="17"/>
    <x v="0"/>
    <n v="2"/>
    <n v="15.95"/>
    <n v="31.9"/>
    <x v="0"/>
    <n v="22"/>
    <x v="7"/>
    <x v="0"/>
    <n v="31.9"/>
    <b v="1"/>
  </r>
  <r>
    <s v="ORD-00137"/>
    <x v="112"/>
    <s v="17:05"/>
    <x v="1"/>
    <x v="1"/>
    <x v="1"/>
    <n v="1"/>
    <n v="3.1"/>
    <n v="3.1"/>
    <x v="0"/>
    <n v="10"/>
    <x v="22"/>
    <x v="0"/>
    <n v="3.1"/>
    <b v="1"/>
  </r>
  <r>
    <s v="ORD-00138"/>
    <x v="113"/>
    <s v="18:10"/>
    <x v="1"/>
    <x v="9"/>
    <x v="1"/>
    <n v="1"/>
    <n v="3.75"/>
    <n v="3.75"/>
    <x v="0"/>
    <n v="9"/>
    <x v="2"/>
    <x v="0"/>
    <n v="3.75"/>
    <b v="1"/>
  </r>
  <r>
    <s v="ORD-00139"/>
    <x v="114"/>
    <s v="20:30"/>
    <x v="1"/>
    <x v="6"/>
    <x v="2"/>
    <n v="1"/>
    <n v="5.5"/>
    <n v="5.5"/>
    <x v="0"/>
    <n v="10"/>
    <x v="18"/>
    <x v="0"/>
    <n v="5.5"/>
    <b v="1"/>
  </r>
  <r>
    <s v="ORD-00140"/>
    <x v="26"/>
    <s v="19:00"/>
    <x v="1"/>
    <x v="0"/>
    <x v="0"/>
    <n v="1"/>
    <n v="9.9499999999999993"/>
    <n v="9.9499999999999993"/>
    <x v="1"/>
    <n v="2"/>
    <x v="18"/>
    <x v="0"/>
    <n v="9.9499999999999993"/>
    <b v="1"/>
  </r>
  <r>
    <s v="ORD-00141"/>
    <x v="32"/>
    <s v="18:20"/>
    <x v="1"/>
    <x v="19"/>
    <x v="2"/>
    <n v="1"/>
    <n v="7.95"/>
    <n v="7.95"/>
    <x v="0"/>
    <n v="5"/>
    <x v="14"/>
    <x v="0"/>
    <n v="7.95"/>
    <b v="1"/>
  </r>
  <r>
    <s v="ORD-00142"/>
    <x v="79"/>
    <s v="22:25"/>
    <x v="1"/>
    <x v="5"/>
    <x v="0"/>
    <n v="1"/>
    <n v="12.95"/>
    <n v="0"/>
    <x v="0"/>
    <n v="2"/>
    <x v="17"/>
    <x v="2"/>
    <n v="12.95"/>
    <b v="1"/>
  </r>
  <r>
    <s v="ORD-00143"/>
    <x v="4"/>
    <s v="19:45"/>
    <x v="1"/>
    <x v="12"/>
    <x v="3"/>
    <n v="1"/>
    <n v="7.25"/>
    <n v="7.25"/>
    <x v="1"/>
    <n v="13"/>
    <x v="10"/>
    <x v="0"/>
    <n v="7.25"/>
    <b v="1"/>
  </r>
  <r>
    <s v="ORD-00144"/>
    <x v="108"/>
    <s v="15:35"/>
    <x v="0"/>
    <x v="3"/>
    <x v="2"/>
    <n v="1"/>
    <n v="8.5"/>
    <n v="8.5"/>
    <x v="0"/>
    <n v="8"/>
    <x v="9"/>
    <x v="0"/>
    <n v="8.5"/>
    <b v="1"/>
  </r>
  <r>
    <s v="ORD-00145"/>
    <x v="81"/>
    <s v="20:20"/>
    <x v="1"/>
    <x v="14"/>
    <x v="2"/>
    <n v="1"/>
    <n v="6.25"/>
    <n v="-6.25"/>
    <x v="0"/>
    <n v="4"/>
    <x v="21"/>
    <x v="1"/>
    <n v="6.25"/>
    <b v="1"/>
  </r>
  <r>
    <s v="ORD-00146"/>
    <x v="115"/>
    <s v="19:25"/>
    <x v="1"/>
    <x v="8"/>
    <x v="0"/>
    <n v="1"/>
    <n v="14.5"/>
    <n v="14.5"/>
    <x v="1"/>
    <n v="9"/>
    <x v="23"/>
    <x v="0"/>
    <n v="14.5"/>
    <b v="1"/>
  </r>
  <r>
    <s v="ORD-00147"/>
    <x v="11"/>
    <s v="22:05"/>
    <x v="1"/>
    <x v="17"/>
    <x v="0"/>
    <n v="3"/>
    <n v="15.95"/>
    <n v="47.85"/>
    <x v="0"/>
    <n v="25"/>
    <x v="22"/>
    <x v="0"/>
    <n v="47.849999999999994"/>
    <b v="1"/>
  </r>
  <r>
    <s v="ORD-00148"/>
    <x v="105"/>
    <s v="22:25"/>
    <x v="1"/>
    <x v="8"/>
    <x v="0"/>
    <n v="1"/>
    <n v="14.5"/>
    <n v="14.5"/>
    <x v="0"/>
    <n v="15"/>
    <x v="17"/>
    <x v="0"/>
    <n v="14.5"/>
    <b v="1"/>
  </r>
  <r>
    <s v="ORD-00149"/>
    <x v="116"/>
    <s v="19:40"/>
    <x v="1"/>
    <x v="5"/>
    <x v="0"/>
    <n v="1"/>
    <n v="12.95"/>
    <n v="12.95"/>
    <x v="1"/>
    <n v="10"/>
    <x v="27"/>
    <x v="0"/>
    <n v="12.95"/>
    <b v="1"/>
  </r>
  <r>
    <s v="ORD-00150"/>
    <x v="80"/>
    <s v="21:30"/>
    <x v="1"/>
    <x v="15"/>
    <x v="3"/>
    <n v="2"/>
    <n v="5.75"/>
    <n v="0"/>
    <x v="1"/>
    <n v="29"/>
    <x v="13"/>
    <x v="2"/>
    <n v="11.5"/>
    <b v="1"/>
  </r>
  <r>
    <s v="ORD-00151"/>
    <x v="88"/>
    <s v="14:40"/>
    <x v="0"/>
    <x v="8"/>
    <x v="0"/>
    <n v="3"/>
    <n v="14.5"/>
    <n v="43.5"/>
    <x v="3"/>
    <n v="11"/>
    <x v="23"/>
    <x v="0"/>
    <n v="43.5"/>
    <b v="1"/>
  </r>
  <r>
    <s v="ORD-00152"/>
    <x v="113"/>
    <s v="18:00"/>
    <x v="1"/>
    <x v="0"/>
    <x v="0"/>
    <n v="2"/>
    <n v="9.9499999999999993"/>
    <n v="19.899999999999999"/>
    <x v="0"/>
    <n v="17"/>
    <x v="12"/>
    <x v="0"/>
    <n v="19.899999999999999"/>
    <b v="1"/>
  </r>
  <r>
    <s v="ORD-00153"/>
    <x v="117"/>
    <s v="13:30"/>
    <x v="0"/>
    <x v="12"/>
    <x v="3"/>
    <n v="2"/>
    <n v="7.25"/>
    <n v="14.5"/>
    <x v="1"/>
    <n v="21"/>
    <x v="4"/>
    <x v="0"/>
    <n v="14.5"/>
    <b v="1"/>
  </r>
  <r>
    <s v="ORD-00154"/>
    <x v="118"/>
    <s v="14:20"/>
    <x v="0"/>
    <x v="6"/>
    <x v="2"/>
    <n v="2"/>
    <n v="5.5"/>
    <n v="11"/>
    <x v="0"/>
    <n v="30"/>
    <x v="22"/>
    <x v="0"/>
    <n v="11"/>
    <b v="1"/>
  </r>
  <r>
    <s v="ORD-00155"/>
    <x v="119"/>
    <s v="15:50"/>
    <x v="0"/>
    <x v="8"/>
    <x v="0"/>
    <n v="3"/>
    <n v="14.5"/>
    <n v="43.5"/>
    <x v="1"/>
    <n v="13"/>
    <x v="27"/>
    <x v="0"/>
    <n v="43.5"/>
    <b v="1"/>
  </r>
  <r>
    <s v="ORD-00156"/>
    <x v="113"/>
    <s v="14:50"/>
    <x v="0"/>
    <x v="14"/>
    <x v="2"/>
    <n v="2"/>
    <n v="6.25"/>
    <n v="12.5"/>
    <x v="2"/>
    <n v="23"/>
    <x v="2"/>
    <x v="0"/>
    <n v="12.5"/>
    <b v="1"/>
  </r>
  <r>
    <s v="ORD-00157"/>
    <x v="120"/>
    <s v="14:40"/>
    <x v="0"/>
    <x v="3"/>
    <x v="2"/>
    <n v="1"/>
    <n v="8.5"/>
    <n v="8.5"/>
    <x v="0"/>
    <n v="25"/>
    <x v="8"/>
    <x v="0"/>
    <n v="8.5"/>
    <b v="1"/>
  </r>
  <r>
    <s v="ORD-00158"/>
    <x v="121"/>
    <s v="18:05"/>
    <x v="1"/>
    <x v="19"/>
    <x v="2"/>
    <n v="2"/>
    <n v="7.95"/>
    <n v="15.9"/>
    <x v="2"/>
    <n v="17"/>
    <x v="21"/>
    <x v="0"/>
    <n v="15.9"/>
    <b v="1"/>
  </r>
  <r>
    <s v="ORD-00159"/>
    <x v="120"/>
    <s v="13:45"/>
    <x v="0"/>
    <x v="8"/>
    <x v="0"/>
    <n v="2"/>
    <n v="14.5"/>
    <n v="29"/>
    <x v="0"/>
    <n v="25"/>
    <x v="13"/>
    <x v="0"/>
    <n v="29"/>
    <b v="1"/>
  </r>
  <r>
    <s v="ORD-00160"/>
    <x v="122"/>
    <s v="17:30"/>
    <x v="1"/>
    <x v="3"/>
    <x v="2"/>
    <n v="2"/>
    <n v="8.5"/>
    <n v="17"/>
    <x v="0"/>
    <n v="15"/>
    <x v="25"/>
    <x v="0"/>
    <n v="17"/>
    <b v="1"/>
  </r>
  <r>
    <s v="ORD-00161"/>
    <x v="123"/>
    <s v="12:20"/>
    <x v="0"/>
    <x v="16"/>
    <x v="1"/>
    <n v="3"/>
    <n v="3.25"/>
    <n v="9.75"/>
    <x v="0"/>
    <n v="15"/>
    <x v="1"/>
    <x v="0"/>
    <n v="9.75"/>
    <b v="1"/>
  </r>
  <r>
    <s v="ORD-00162"/>
    <x v="124"/>
    <s v="21:40"/>
    <x v="1"/>
    <x v="12"/>
    <x v="3"/>
    <n v="3"/>
    <n v="7.25"/>
    <n v="21.75"/>
    <x v="0"/>
    <n v="26"/>
    <x v="26"/>
    <x v="0"/>
    <n v="21.75"/>
    <b v="1"/>
  </r>
  <r>
    <s v="ORD-00163"/>
    <x v="68"/>
    <s v="14:25"/>
    <x v="0"/>
    <x v="4"/>
    <x v="1"/>
    <n v="3"/>
    <n v="2.8"/>
    <n v="8.4"/>
    <x v="1"/>
    <n v="10"/>
    <x v="7"/>
    <x v="0"/>
    <n v="8.3999999999999986"/>
    <b v="1"/>
  </r>
  <r>
    <s v="ORD-00164"/>
    <x v="125"/>
    <s v="15:10"/>
    <x v="0"/>
    <x v="12"/>
    <x v="3"/>
    <n v="1"/>
    <n v="7.25"/>
    <n v="7.25"/>
    <x v="0"/>
    <n v="27"/>
    <x v="16"/>
    <x v="0"/>
    <n v="7.25"/>
    <b v="1"/>
  </r>
  <r>
    <s v="ORD-00165"/>
    <x v="126"/>
    <s v="20:00"/>
    <x v="1"/>
    <x v="7"/>
    <x v="3"/>
    <n v="1"/>
    <n v="6.95"/>
    <n v="6.95"/>
    <x v="1"/>
    <n v="8"/>
    <x v="20"/>
    <x v="0"/>
    <n v="6.95"/>
    <b v="1"/>
  </r>
  <r>
    <s v="ORD-00166"/>
    <x v="22"/>
    <s v="22:25"/>
    <x v="1"/>
    <x v="8"/>
    <x v="0"/>
    <n v="1"/>
    <n v="14.5"/>
    <n v="14.5"/>
    <x v="2"/>
    <n v="30"/>
    <x v="13"/>
    <x v="0"/>
    <n v="14.5"/>
    <b v="1"/>
  </r>
  <r>
    <s v="ORD-00167"/>
    <x v="127"/>
    <s v="20:35"/>
    <x v="1"/>
    <x v="9"/>
    <x v="1"/>
    <n v="1"/>
    <n v="3.75"/>
    <n v="3.75"/>
    <x v="0"/>
    <n v="5"/>
    <x v="8"/>
    <x v="0"/>
    <n v="3.75"/>
    <b v="1"/>
  </r>
  <r>
    <s v="ORD-00168"/>
    <x v="12"/>
    <s v="19:15"/>
    <x v="1"/>
    <x v="19"/>
    <x v="2"/>
    <n v="1"/>
    <n v="7.95"/>
    <n v="7.95"/>
    <x v="0"/>
    <n v="14"/>
    <x v="17"/>
    <x v="0"/>
    <n v="7.95"/>
    <b v="1"/>
  </r>
  <r>
    <s v="ORD-00169"/>
    <x v="128"/>
    <s v="14:45"/>
    <x v="0"/>
    <x v="4"/>
    <x v="1"/>
    <n v="1"/>
    <n v="2.8"/>
    <n v="2.8"/>
    <x v="0"/>
    <n v="10"/>
    <x v="1"/>
    <x v="0"/>
    <n v="2.8"/>
    <b v="1"/>
  </r>
  <r>
    <s v="ORD-00170"/>
    <x v="129"/>
    <s v="14:10"/>
    <x v="0"/>
    <x v="5"/>
    <x v="0"/>
    <n v="1"/>
    <n v="12.95"/>
    <n v="12.95"/>
    <x v="3"/>
    <n v="3"/>
    <x v="5"/>
    <x v="0"/>
    <n v="12.95"/>
    <b v="1"/>
  </r>
  <r>
    <s v="ORD-00171"/>
    <x v="130"/>
    <s v="21:40"/>
    <x v="1"/>
    <x v="2"/>
    <x v="0"/>
    <n v="1"/>
    <n v="11.5"/>
    <n v="11.5"/>
    <x v="1"/>
    <n v="12"/>
    <x v="27"/>
    <x v="0"/>
    <n v="11.5"/>
    <b v="1"/>
  </r>
  <r>
    <s v="ORD-00172"/>
    <x v="131"/>
    <s v="11:25"/>
    <x v="0"/>
    <x v="0"/>
    <x v="0"/>
    <n v="2"/>
    <n v="9.9499999999999993"/>
    <n v="19.899999999999999"/>
    <x v="2"/>
    <n v="4"/>
    <x v="8"/>
    <x v="0"/>
    <n v="19.899999999999999"/>
    <b v="1"/>
  </r>
  <r>
    <s v="ORD-00173"/>
    <x v="35"/>
    <s v="13:40"/>
    <x v="0"/>
    <x v="14"/>
    <x v="2"/>
    <n v="2"/>
    <n v="6.25"/>
    <n v="12.5"/>
    <x v="0"/>
    <n v="23"/>
    <x v="17"/>
    <x v="0"/>
    <n v="12.5"/>
    <b v="1"/>
  </r>
  <r>
    <s v="ORD-00174"/>
    <x v="132"/>
    <s v="17:55"/>
    <x v="1"/>
    <x v="15"/>
    <x v="3"/>
    <n v="1"/>
    <n v="5.75"/>
    <n v="5.75"/>
    <x v="2"/>
    <n v="2"/>
    <x v="9"/>
    <x v="0"/>
    <n v="5.75"/>
    <b v="1"/>
  </r>
  <r>
    <s v="ORD-00175"/>
    <x v="61"/>
    <s v="13:40"/>
    <x v="0"/>
    <x v="7"/>
    <x v="3"/>
    <n v="4"/>
    <n v="6.95"/>
    <n v="27.8"/>
    <x v="1"/>
    <n v="21"/>
    <x v="2"/>
    <x v="0"/>
    <n v="27.8"/>
    <b v="1"/>
  </r>
  <r>
    <s v="ORD-00176"/>
    <x v="133"/>
    <s v="17:50"/>
    <x v="1"/>
    <x v="14"/>
    <x v="2"/>
    <n v="1"/>
    <n v="6.25"/>
    <n v="6.25"/>
    <x v="3"/>
    <n v="14"/>
    <x v="17"/>
    <x v="0"/>
    <n v="6.25"/>
    <b v="1"/>
  </r>
  <r>
    <s v="ORD-00177"/>
    <x v="89"/>
    <s v="20:25"/>
    <x v="1"/>
    <x v="17"/>
    <x v="0"/>
    <n v="1"/>
    <n v="15.95"/>
    <n v="15.95"/>
    <x v="2"/>
    <n v="9"/>
    <x v="9"/>
    <x v="0"/>
    <n v="15.95"/>
    <b v="1"/>
  </r>
  <r>
    <s v="ORD-00178"/>
    <x v="114"/>
    <s v="15:10"/>
    <x v="0"/>
    <x v="4"/>
    <x v="1"/>
    <n v="1"/>
    <n v="2.8"/>
    <n v="2.8"/>
    <x v="1"/>
    <n v="3"/>
    <x v="10"/>
    <x v="0"/>
    <n v="2.8"/>
    <b v="1"/>
  </r>
  <r>
    <s v="ORD-00179"/>
    <x v="97"/>
    <s v="15:55"/>
    <x v="0"/>
    <x v="12"/>
    <x v="3"/>
    <n v="1"/>
    <n v="7.25"/>
    <n v="7.25"/>
    <x v="3"/>
    <n v="28"/>
    <x v="2"/>
    <x v="0"/>
    <n v="7.25"/>
    <b v="1"/>
  </r>
  <r>
    <s v="ORD-00180"/>
    <x v="13"/>
    <s v="11:05"/>
    <x v="0"/>
    <x v="7"/>
    <x v="3"/>
    <n v="1"/>
    <n v="6.95"/>
    <n v="0"/>
    <x v="1"/>
    <n v="22"/>
    <x v="8"/>
    <x v="2"/>
    <n v="6.95"/>
    <b v="1"/>
  </r>
  <r>
    <s v="ORD-00181"/>
    <x v="134"/>
    <s v="15:50"/>
    <x v="0"/>
    <x v="15"/>
    <x v="3"/>
    <n v="1"/>
    <n v="5.75"/>
    <n v="5.75"/>
    <x v="0"/>
    <n v="12"/>
    <x v="10"/>
    <x v="0"/>
    <n v="5.75"/>
    <b v="1"/>
  </r>
  <r>
    <s v="ORD-00182"/>
    <x v="1"/>
    <s v="22:35"/>
    <x v="1"/>
    <x v="3"/>
    <x v="2"/>
    <n v="1"/>
    <n v="8.5"/>
    <n v="-8.5"/>
    <x v="0"/>
    <n v="3"/>
    <x v="15"/>
    <x v="1"/>
    <n v="8.5"/>
    <b v="1"/>
  </r>
  <r>
    <s v="ORD-00183"/>
    <x v="98"/>
    <s v="13:50"/>
    <x v="0"/>
    <x v="6"/>
    <x v="2"/>
    <n v="1"/>
    <n v="5.5"/>
    <n v="5.5"/>
    <x v="0"/>
    <n v="17"/>
    <x v="19"/>
    <x v="0"/>
    <n v="5.5"/>
    <b v="1"/>
  </r>
  <r>
    <s v="ORD-00184"/>
    <x v="135"/>
    <s v="13:55"/>
    <x v="0"/>
    <x v="15"/>
    <x v="3"/>
    <n v="1"/>
    <n v="5.75"/>
    <n v="5.75"/>
    <x v="0"/>
    <n v="10"/>
    <x v="10"/>
    <x v="0"/>
    <n v="5.75"/>
    <b v="1"/>
  </r>
  <r>
    <s v="ORD-00185"/>
    <x v="136"/>
    <s v="12:05"/>
    <x v="0"/>
    <x v="15"/>
    <x v="3"/>
    <n v="1"/>
    <n v="5.75"/>
    <n v="5.75"/>
    <x v="3"/>
    <n v="22"/>
    <x v="14"/>
    <x v="0"/>
    <n v="5.75"/>
    <b v="1"/>
  </r>
  <r>
    <s v="ORD-00186"/>
    <x v="52"/>
    <s v="22:05"/>
    <x v="1"/>
    <x v="4"/>
    <x v="1"/>
    <n v="1"/>
    <n v="2.8"/>
    <n v="2.8"/>
    <x v="1"/>
    <n v="28"/>
    <x v="14"/>
    <x v="0"/>
    <n v="2.8"/>
    <b v="1"/>
  </r>
  <r>
    <s v="ORD-00187"/>
    <x v="137"/>
    <s v="21:15"/>
    <x v="1"/>
    <x v="10"/>
    <x v="0"/>
    <n v="4"/>
    <n v="11.95"/>
    <n v="47.8"/>
    <x v="0"/>
    <n v="12"/>
    <x v="17"/>
    <x v="0"/>
    <n v="47.8"/>
    <b v="1"/>
  </r>
  <r>
    <s v="ORD-00188"/>
    <x v="138"/>
    <s v="21:10"/>
    <x v="1"/>
    <x v="9"/>
    <x v="1"/>
    <n v="3"/>
    <n v="3.75"/>
    <n v="11.25"/>
    <x v="0"/>
    <n v="10"/>
    <x v="19"/>
    <x v="0"/>
    <n v="11.25"/>
    <b v="1"/>
  </r>
  <r>
    <s v="ORD-00189"/>
    <x v="139"/>
    <s v="20:45"/>
    <x v="1"/>
    <x v="5"/>
    <x v="0"/>
    <n v="1"/>
    <n v="12.95"/>
    <n v="12.95"/>
    <x v="0"/>
    <n v="22"/>
    <x v="7"/>
    <x v="0"/>
    <n v="12.95"/>
    <b v="1"/>
  </r>
  <r>
    <s v="ORD-00190"/>
    <x v="44"/>
    <s v="21:50"/>
    <x v="1"/>
    <x v="18"/>
    <x v="1"/>
    <n v="1"/>
    <n v="6.5"/>
    <n v="6.5"/>
    <x v="0"/>
    <n v="14"/>
    <x v="4"/>
    <x v="0"/>
    <n v="6.5"/>
    <b v="1"/>
  </r>
  <r>
    <s v="ORD-00191"/>
    <x v="8"/>
    <s v="21:10"/>
    <x v="1"/>
    <x v="19"/>
    <x v="2"/>
    <n v="1"/>
    <n v="7.95"/>
    <n v="7.95"/>
    <x v="3"/>
    <n v="17"/>
    <x v="21"/>
    <x v="0"/>
    <n v="7.95"/>
    <b v="1"/>
  </r>
  <r>
    <s v="ORD-00192"/>
    <x v="16"/>
    <s v="15:20"/>
    <x v="0"/>
    <x v="8"/>
    <x v="0"/>
    <n v="2"/>
    <n v="14.5"/>
    <n v="29"/>
    <x v="1"/>
    <n v="18"/>
    <x v="2"/>
    <x v="0"/>
    <n v="29"/>
    <b v="1"/>
  </r>
  <r>
    <s v="ORD-00193"/>
    <x v="140"/>
    <s v="21:10"/>
    <x v="1"/>
    <x v="17"/>
    <x v="0"/>
    <n v="2"/>
    <n v="15.95"/>
    <n v="31.9"/>
    <x v="0"/>
    <n v="30"/>
    <x v="18"/>
    <x v="0"/>
    <n v="31.9"/>
    <b v="1"/>
  </r>
  <r>
    <s v="ORD-00194"/>
    <x v="141"/>
    <s v="15:20"/>
    <x v="0"/>
    <x v="11"/>
    <x v="0"/>
    <n v="2"/>
    <n v="12.5"/>
    <n v="25"/>
    <x v="0"/>
    <n v="20"/>
    <x v="9"/>
    <x v="0"/>
    <n v="25"/>
    <b v="1"/>
  </r>
  <r>
    <s v="ORD-00195"/>
    <x v="142"/>
    <s v="21:20"/>
    <x v="1"/>
    <x v="19"/>
    <x v="2"/>
    <n v="1"/>
    <n v="7.95"/>
    <n v="7.95"/>
    <x v="1"/>
    <n v="23"/>
    <x v="2"/>
    <x v="0"/>
    <n v="7.95"/>
    <b v="1"/>
  </r>
  <r>
    <s v="ORD-00196"/>
    <x v="89"/>
    <s v="20:15"/>
    <x v="1"/>
    <x v="14"/>
    <x v="2"/>
    <n v="2"/>
    <n v="6.25"/>
    <n v="12.5"/>
    <x v="0"/>
    <n v="28"/>
    <x v="21"/>
    <x v="0"/>
    <n v="12.5"/>
    <b v="1"/>
  </r>
  <r>
    <s v="ORD-00197"/>
    <x v="94"/>
    <s v="18:25"/>
    <x v="1"/>
    <x v="1"/>
    <x v="1"/>
    <n v="1"/>
    <n v="3.1"/>
    <n v="3.1"/>
    <x v="1"/>
    <n v="15"/>
    <x v="14"/>
    <x v="0"/>
    <n v="3.1"/>
    <b v="1"/>
  </r>
  <r>
    <s v="ORD-00198"/>
    <x v="143"/>
    <s v="14:45"/>
    <x v="0"/>
    <x v="12"/>
    <x v="3"/>
    <n v="1"/>
    <n v="7.25"/>
    <n v="7.25"/>
    <x v="1"/>
    <n v="27"/>
    <x v="19"/>
    <x v="0"/>
    <n v="7.25"/>
    <b v="1"/>
  </r>
  <r>
    <s v="ORD-00199"/>
    <x v="41"/>
    <s v="12:35"/>
    <x v="0"/>
    <x v="1"/>
    <x v="1"/>
    <n v="1"/>
    <n v="3.1"/>
    <n v="3.1"/>
    <x v="0"/>
    <n v="13"/>
    <x v="16"/>
    <x v="0"/>
    <n v="3.1"/>
    <b v="1"/>
  </r>
  <r>
    <s v="ORD-00200"/>
    <x v="144"/>
    <s v="13:00"/>
    <x v="0"/>
    <x v="13"/>
    <x v="0"/>
    <n v="1"/>
    <n v="13.5"/>
    <n v="13.5"/>
    <x v="2"/>
    <n v="29"/>
    <x v="10"/>
    <x v="0"/>
    <n v="13.5"/>
    <b v="1"/>
  </r>
  <r>
    <s v="ORD-00201"/>
    <x v="76"/>
    <s v="11:05"/>
    <x v="0"/>
    <x v="12"/>
    <x v="3"/>
    <n v="1"/>
    <n v="7.25"/>
    <n v="7.25"/>
    <x v="1"/>
    <n v="12"/>
    <x v="2"/>
    <x v="0"/>
    <n v="7.25"/>
    <b v="1"/>
  </r>
  <r>
    <s v="ORD-00202"/>
    <x v="145"/>
    <s v="18:25"/>
    <x v="1"/>
    <x v="4"/>
    <x v="1"/>
    <n v="1"/>
    <n v="2.8"/>
    <n v="2.8"/>
    <x v="0"/>
    <n v="17"/>
    <x v="1"/>
    <x v="0"/>
    <n v="2.8"/>
    <b v="1"/>
  </r>
  <r>
    <s v="ORD-00203"/>
    <x v="146"/>
    <s v="21:50"/>
    <x v="1"/>
    <x v="9"/>
    <x v="1"/>
    <n v="1"/>
    <n v="3.75"/>
    <n v="3.75"/>
    <x v="0"/>
    <n v="11"/>
    <x v="3"/>
    <x v="0"/>
    <n v="3.75"/>
    <b v="1"/>
  </r>
  <r>
    <s v="ORD-00204"/>
    <x v="99"/>
    <s v="18:45"/>
    <x v="1"/>
    <x v="1"/>
    <x v="1"/>
    <n v="1"/>
    <n v="3.1"/>
    <n v="3.1"/>
    <x v="1"/>
    <n v="2"/>
    <x v="19"/>
    <x v="0"/>
    <n v="3.1"/>
    <b v="1"/>
  </r>
  <r>
    <s v="ORD-00205"/>
    <x v="35"/>
    <s v="21:35"/>
    <x v="1"/>
    <x v="8"/>
    <x v="0"/>
    <n v="2"/>
    <n v="14.5"/>
    <n v="29"/>
    <x v="1"/>
    <n v="11"/>
    <x v="15"/>
    <x v="0"/>
    <n v="29"/>
    <b v="1"/>
  </r>
  <r>
    <s v="ORD-00206"/>
    <x v="30"/>
    <s v="21:40"/>
    <x v="1"/>
    <x v="4"/>
    <x v="1"/>
    <n v="1"/>
    <n v="2.8"/>
    <n v="2.8"/>
    <x v="0"/>
    <n v="10"/>
    <x v="21"/>
    <x v="0"/>
    <n v="2.8"/>
    <b v="1"/>
  </r>
  <r>
    <s v="ORD-00207"/>
    <x v="131"/>
    <s v="11:30"/>
    <x v="0"/>
    <x v="18"/>
    <x v="1"/>
    <n v="1"/>
    <n v="6.5"/>
    <n v="6.5"/>
    <x v="0"/>
    <n v="20"/>
    <x v="2"/>
    <x v="0"/>
    <n v="6.5"/>
    <b v="1"/>
  </r>
  <r>
    <s v="ORD-00208"/>
    <x v="91"/>
    <s v="21:35"/>
    <x v="1"/>
    <x v="17"/>
    <x v="0"/>
    <n v="1"/>
    <n v="15.95"/>
    <n v="15.95"/>
    <x v="2"/>
    <n v="20"/>
    <x v="14"/>
    <x v="0"/>
    <n v="15.95"/>
    <b v="1"/>
  </r>
  <r>
    <s v="ORD-00209"/>
    <x v="57"/>
    <s v="12:00"/>
    <x v="0"/>
    <x v="18"/>
    <x v="1"/>
    <n v="3"/>
    <n v="6.5"/>
    <n v="19.5"/>
    <x v="1"/>
    <n v="14"/>
    <x v="5"/>
    <x v="0"/>
    <n v="19.5"/>
    <b v="1"/>
  </r>
  <r>
    <s v="ORD-00210"/>
    <x v="34"/>
    <s v="21:35"/>
    <x v="1"/>
    <x v="13"/>
    <x v="0"/>
    <n v="2"/>
    <n v="13.5"/>
    <n v="27"/>
    <x v="0"/>
    <n v="7"/>
    <x v="23"/>
    <x v="0"/>
    <n v="27"/>
    <b v="1"/>
  </r>
  <r>
    <s v="ORD-00211"/>
    <x v="147"/>
    <s v="19:10"/>
    <x v="1"/>
    <x v="15"/>
    <x v="3"/>
    <n v="3"/>
    <n v="5.75"/>
    <n v="17.25"/>
    <x v="0"/>
    <n v="28"/>
    <x v="5"/>
    <x v="0"/>
    <n v="17.25"/>
    <b v="1"/>
  </r>
  <r>
    <s v="ORD-00212"/>
    <x v="90"/>
    <s v="18:15"/>
    <x v="1"/>
    <x v="6"/>
    <x v="2"/>
    <n v="1"/>
    <n v="5.5"/>
    <n v="5.5"/>
    <x v="2"/>
    <n v="10"/>
    <x v="8"/>
    <x v="0"/>
    <n v="5.5"/>
    <b v="1"/>
  </r>
  <r>
    <s v="ORD-00213"/>
    <x v="104"/>
    <s v="20:25"/>
    <x v="1"/>
    <x v="16"/>
    <x v="1"/>
    <n v="1"/>
    <n v="3.25"/>
    <n v="3.25"/>
    <x v="0"/>
    <n v="22"/>
    <x v="9"/>
    <x v="0"/>
    <n v="3.25"/>
    <b v="1"/>
  </r>
  <r>
    <s v="ORD-00214"/>
    <x v="95"/>
    <s v="18:20"/>
    <x v="1"/>
    <x v="13"/>
    <x v="0"/>
    <n v="1"/>
    <n v="13.5"/>
    <n v="13.5"/>
    <x v="1"/>
    <n v="3"/>
    <x v="21"/>
    <x v="0"/>
    <n v="13.5"/>
    <b v="1"/>
  </r>
  <r>
    <s v="ORD-00215"/>
    <x v="83"/>
    <s v="22:35"/>
    <x v="1"/>
    <x v="11"/>
    <x v="0"/>
    <n v="1"/>
    <n v="12.5"/>
    <n v="12.5"/>
    <x v="1"/>
    <n v="9"/>
    <x v="20"/>
    <x v="0"/>
    <n v="12.5"/>
    <b v="1"/>
  </r>
  <r>
    <s v="ORD-00216"/>
    <x v="148"/>
    <s v="15:15"/>
    <x v="0"/>
    <x v="0"/>
    <x v="0"/>
    <n v="1"/>
    <n v="9.9499999999999993"/>
    <n v="9.9499999999999993"/>
    <x v="0"/>
    <n v="11"/>
    <x v="21"/>
    <x v="0"/>
    <n v="9.9499999999999993"/>
    <b v="1"/>
  </r>
  <r>
    <s v="ORD-00217"/>
    <x v="149"/>
    <s v="18:00"/>
    <x v="1"/>
    <x v="4"/>
    <x v="1"/>
    <n v="4"/>
    <n v="2.8"/>
    <n v="11.2"/>
    <x v="0"/>
    <n v="29"/>
    <x v="1"/>
    <x v="0"/>
    <n v="11.2"/>
    <b v="1"/>
  </r>
  <r>
    <s v="ORD-00218"/>
    <x v="150"/>
    <s v="19:25"/>
    <x v="1"/>
    <x v="19"/>
    <x v="2"/>
    <n v="2"/>
    <n v="7.95"/>
    <n v="-15.9"/>
    <x v="0"/>
    <n v="3"/>
    <x v="12"/>
    <x v="1"/>
    <n v="15.9"/>
    <b v="1"/>
  </r>
  <r>
    <s v="ORD-00219"/>
    <x v="151"/>
    <s v="22:00"/>
    <x v="1"/>
    <x v="17"/>
    <x v="0"/>
    <n v="1"/>
    <n v="15.95"/>
    <n v="15.95"/>
    <x v="0"/>
    <n v="27"/>
    <x v="13"/>
    <x v="0"/>
    <n v="15.95"/>
    <b v="1"/>
  </r>
  <r>
    <s v="ORD-00220"/>
    <x v="65"/>
    <s v="13:00"/>
    <x v="0"/>
    <x v="2"/>
    <x v="0"/>
    <n v="1"/>
    <n v="11.5"/>
    <n v="11.5"/>
    <x v="3"/>
    <n v="4"/>
    <x v="7"/>
    <x v="0"/>
    <n v="11.5"/>
    <b v="1"/>
  </r>
  <r>
    <s v="ORD-00221"/>
    <x v="152"/>
    <s v="15:40"/>
    <x v="0"/>
    <x v="16"/>
    <x v="1"/>
    <n v="3"/>
    <n v="3.25"/>
    <n v="9.75"/>
    <x v="2"/>
    <n v="7"/>
    <x v="9"/>
    <x v="0"/>
    <n v="9.75"/>
    <b v="1"/>
  </r>
  <r>
    <s v="ORD-00222"/>
    <x v="153"/>
    <s v="14:50"/>
    <x v="0"/>
    <x v="6"/>
    <x v="2"/>
    <n v="2"/>
    <n v="5.5"/>
    <n v="11"/>
    <x v="1"/>
    <n v="24"/>
    <x v="0"/>
    <x v="0"/>
    <n v="11"/>
    <b v="1"/>
  </r>
  <r>
    <s v="ORD-00223"/>
    <x v="97"/>
    <s v="18:10"/>
    <x v="1"/>
    <x v="9"/>
    <x v="1"/>
    <n v="2"/>
    <n v="3.75"/>
    <n v="7.5"/>
    <x v="0"/>
    <n v="3"/>
    <x v="10"/>
    <x v="0"/>
    <n v="7.5"/>
    <b v="1"/>
  </r>
  <r>
    <s v="ORD-00224"/>
    <x v="154"/>
    <s v="12:35"/>
    <x v="0"/>
    <x v="14"/>
    <x v="2"/>
    <n v="3"/>
    <n v="6.25"/>
    <n v="18.75"/>
    <x v="0"/>
    <n v="9"/>
    <x v="22"/>
    <x v="0"/>
    <n v="18.75"/>
    <b v="1"/>
  </r>
  <r>
    <s v="ORD-00225"/>
    <x v="155"/>
    <s v="19:20"/>
    <x v="1"/>
    <x v="18"/>
    <x v="1"/>
    <n v="2"/>
    <n v="6.5"/>
    <n v="13"/>
    <x v="1"/>
    <n v="8"/>
    <x v="9"/>
    <x v="0"/>
    <n v="13"/>
    <b v="1"/>
  </r>
  <r>
    <s v="ORD-00226"/>
    <x v="135"/>
    <s v="18:30"/>
    <x v="1"/>
    <x v="1"/>
    <x v="1"/>
    <n v="3"/>
    <n v="3.1"/>
    <n v="9.3000000000000007"/>
    <x v="1"/>
    <n v="25"/>
    <x v="20"/>
    <x v="0"/>
    <n v="9.3000000000000007"/>
    <b v="1"/>
  </r>
  <r>
    <s v="ORD-00227"/>
    <x v="135"/>
    <s v="19:25"/>
    <x v="1"/>
    <x v="9"/>
    <x v="1"/>
    <n v="1"/>
    <n v="3.75"/>
    <n v="3.75"/>
    <x v="0"/>
    <n v="20"/>
    <x v="16"/>
    <x v="0"/>
    <n v="3.75"/>
    <b v="1"/>
  </r>
  <r>
    <s v="ORD-00228"/>
    <x v="156"/>
    <s v="22:15"/>
    <x v="1"/>
    <x v="0"/>
    <x v="0"/>
    <n v="2"/>
    <n v="9.9499999999999993"/>
    <n v="19.899999999999999"/>
    <x v="2"/>
    <n v="28"/>
    <x v="17"/>
    <x v="0"/>
    <n v="19.899999999999999"/>
    <b v="1"/>
  </r>
  <r>
    <s v="ORD-00229"/>
    <x v="120"/>
    <s v="22:25"/>
    <x v="1"/>
    <x v="5"/>
    <x v="0"/>
    <n v="3"/>
    <n v="12.95"/>
    <n v="38.85"/>
    <x v="1"/>
    <n v="17"/>
    <x v="23"/>
    <x v="0"/>
    <n v="38.849999999999994"/>
    <b v="1"/>
  </r>
  <r>
    <s v="ORD-00230"/>
    <x v="119"/>
    <s v="15:35"/>
    <x v="0"/>
    <x v="10"/>
    <x v="0"/>
    <n v="2"/>
    <n v="11.95"/>
    <n v="23.9"/>
    <x v="0"/>
    <n v="19"/>
    <x v="20"/>
    <x v="0"/>
    <n v="23.9"/>
    <b v="1"/>
  </r>
  <r>
    <s v="ORD-00231"/>
    <x v="157"/>
    <s v="17:35"/>
    <x v="1"/>
    <x v="8"/>
    <x v="0"/>
    <n v="1"/>
    <n v="14.5"/>
    <n v="14.5"/>
    <x v="2"/>
    <n v="22"/>
    <x v="9"/>
    <x v="0"/>
    <n v="14.5"/>
    <b v="1"/>
  </r>
  <r>
    <s v="ORD-00232"/>
    <x v="158"/>
    <s v="17:55"/>
    <x v="1"/>
    <x v="11"/>
    <x v="0"/>
    <n v="1"/>
    <n v="12.5"/>
    <n v="12.5"/>
    <x v="1"/>
    <n v="14"/>
    <x v="10"/>
    <x v="0"/>
    <n v="12.5"/>
    <b v="1"/>
  </r>
  <r>
    <s v="ORD-00233"/>
    <x v="53"/>
    <s v="17:05"/>
    <x v="1"/>
    <x v="16"/>
    <x v="1"/>
    <n v="1"/>
    <n v="3.25"/>
    <n v="3.25"/>
    <x v="3"/>
    <n v="21"/>
    <x v="2"/>
    <x v="0"/>
    <n v="3.25"/>
    <b v="1"/>
  </r>
  <r>
    <s v="ORD-00234"/>
    <x v="159"/>
    <s v="14:35"/>
    <x v="0"/>
    <x v="7"/>
    <x v="3"/>
    <n v="1"/>
    <n v="6.95"/>
    <n v="6.95"/>
    <x v="3"/>
    <n v="22"/>
    <x v="20"/>
    <x v="0"/>
    <n v="6.95"/>
    <b v="1"/>
  </r>
  <r>
    <s v="ORD-00235"/>
    <x v="160"/>
    <s v="19:05"/>
    <x v="1"/>
    <x v="17"/>
    <x v="0"/>
    <n v="4"/>
    <n v="15.95"/>
    <n v="63.8"/>
    <x v="2"/>
    <n v="8"/>
    <x v="0"/>
    <x v="0"/>
    <n v="63.8"/>
    <b v="1"/>
  </r>
  <r>
    <s v="ORD-00236"/>
    <x v="158"/>
    <s v="20:50"/>
    <x v="1"/>
    <x v="4"/>
    <x v="1"/>
    <n v="1"/>
    <n v="2.8"/>
    <n v="2.8"/>
    <x v="1"/>
    <n v="27"/>
    <x v="5"/>
    <x v="0"/>
    <n v="2.8"/>
    <b v="1"/>
  </r>
  <r>
    <s v="ORD-00237"/>
    <x v="4"/>
    <s v="13:15"/>
    <x v="0"/>
    <x v="10"/>
    <x v="0"/>
    <n v="1"/>
    <n v="11.95"/>
    <n v="11.95"/>
    <x v="3"/>
    <n v="29"/>
    <x v="4"/>
    <x v="0"/>
    <n v="11.95"/>
    <b v="1"/>
  </r>
  <r>
    <s v="ORD-00238"/>
    <x v="144"/>
    <s v="11:45"/>
    <x v="0"/>
    <x v="13"/>
    <x v="0"/>
    <n v="1"/>
    <n v="13.5"/>
    <n v="13.5"/>
    <x v="3"/>
    <n v="23"/>
    <x v="17"/>
    <x v="0"/>
    <n v="13.5"/>
    <b v="1"/>
  </r>
  <r>
    <s v="ORD-00239"/>
    <x v="7"/>
    <s v="20:35"/>
    <x v="1"/>
    <x v="0"/>
    <x v="0"/>
    <n v="1"/>
    <n v="9.9499999999999993"/>
    <n v="0"/>
    <x v="3"/>
    <n v="17"/>
    <x v="13"/>
    <x v="2"/>
    <n v="9.9499999999999993"/>
    <b v="1"/>
  </r>
  <r>
    <s v="ORD-00240"/>
    <x v="161"/>
    <s v="22:45"/>
    <x v="1"/>
    <x v="14"/>
    <x v="2"/>
    <n v="1"/>
    <n v="6.25"/>
    <n v="-6.25"/>
    <x v="2"/>
    <n v="22"/>
    <x v="20"/>
    <x v="1"/>
    <n v="6.25"/>
    <b v="1"/>
  </r>
  <r>
    <s v="ORD-00241"/>
    <x v="162"/>
    <s v="12:50"/>
    <x v="0"/>
    <x v="1"/>
    <x v="1"/>
    <n v="1"/>
    <n v="3.1"/>
    <n v="3.1"/>
    <x v="3"/>
    <n v="19"/>
    <x v="4"/>
    <x v="0"/>
    <n v="3.1"/>
    <b v="1"/>
  </r>
  <r>
    <s v="ORD-00242"/>
    <x v="137"/>
    <s v="20:40"/>
    <x v="1"/>
    <x v="16"/>
    <x v="1"/>
    <n v="1"/>
    <n v="3.25"/>
    <n v="3.25"/>
    <x v="0"/>
    <n v="21"/>
    <x v="17"/>
    <x v="0"/>
    <n v="3.25"/>
    <b v="1"/>
  </r>
  <r>
    <s v="ORD-00243"/>
    <x v="69"/>
    <s v="14:30"/>
    <x v="0"/>
    <x v="8"/>
    <x v="0"/>
    <n v="1"/>
    <n v="14.5"/>
    <n v="14.5"/>
    <x v="1"/>
    <n v="28"/>
    <x v="10"/>
    <x v="0"/>
    <n v="14.5"/>
    <b v="1"/>
  </r>
  <r>
    <s v="ORD-00244"/>
    <x v="163"/>
    <s v="17:40"/>
    <x v="1"/>
    <x v="12"/>
    <x v="3"/>
    <n v="3"/>
    <n v="7.25"/>
    <n v="21.75"/>
    <x v="1"/>
    <n v="17"/>
    <x v="14"/>
    <x v="0"/>
    <n v="21.75"/>
    <b v="1"/>
  </r>
  <r>
    <s v="ORD-00245"/>
    <x v="164"/>
    <s v="13:50"/>
    <x v="0"/>
    <x v="5"/>
    <x v="0"/>
    <n v="3"/>
    <n v="12.95"/>
    <n v="38.85"/>
    <x v="1"/>
    <n v="7"/>
    <x v="18"/>
    <x v="0"/>
    <n v="38.849999999999994"/>
    <b v="1"/>
  </r>
  <r>
    <s v="ORD-00246"/>
    <x v="165"/>
    <s v="21:00"/>
    <x v="1"/>
    <x v="5"/>
    <x v="0"/>
    <n v="1"/>
    <n v="12.95"/>
    <n v="-12.95"/>
    <x v="0"/>
    <n v="19"/>
    <x v="27"/>
    <x v="1"/>
    <n v="12.95"/>
    <b v="1"/>
  </r>
  <r>
    <s v="ORD-00247"/>
    <x v="166"/>
    <s v="19:20"/>
    <x v="1"/>
    <x v="2"/>
    <x v="0"/>
    <n v="1"/>
    <n v="11.5"/>
    <n v="11.5"/>
    <x v="0"/>
    <n v="25"/>
    <x v="6"/>
    <x v="0"/>
    <n v="11.5"/>
    <b v="1"/>
  </r>
  <r>
    <s v="ORD-00248"/>
    <x v="164"/>
    <s v="22:15"/>
    <x v="1"/>
    <x v="7"/>
    <x v="3"/>
    <n v="3"/>
    <n v="6.95"/>
    <n v="20.85"/>
    <x v="2"/>
    <n v="11"/>
    <x v="19"/>
    <x v="0"/>
    <n v="20.85"/>
    <b v="1"/>
  </r>
  <r>
    <s v="ORD-00249"/>
    <x v="57"/>
    <s v="22:25"/>
    <x v="1"/>
    <x v="19"/>
    <x v="2"/>
    <n v="1"/>
    <n v="7.95"/>
    <n v="7.95"/>
    <x v="3"/>
    <n v="26"/>
    <x v="18"/>
    <x v="0"/>
    <n v="7.95"/>
    <b v="1"/>
  </r>
  <r>
    <s v="ORD-00250"/>
    <x v="76"/>
    <s v="19:15"/>
    <x v="1"/>
    <x v="3"/>
    <x v="2"/>
    <n v="1"/>
    <n v="8.5"/>
    <n v="8.5"/>
    <x v="3"/>
    <n v="19"/>
    <x v="7"/>
    <x v="0"/>
    <n v="8.5"/>
    <b v="1"/>
  </r>
  <r>
    <s v="ORD-00251"/>
    <x v="167"/>
    <s v="15:45"/>
    <x v="0"/>
    <x v="18"/>
    <x v="1"/>
    <n v="2"/>
    <n v="6.5"/>
    <n v="13"/>
    <x v="0"/>
    <n v="13"/>
    <x v="9"/>
    <x v="0"/>
    <n v="13"/>
    <b v="1"/>
  </r>
  <r>
    <s v="ORD-00252"/>
    <x v="7"/>
    <s v="22:50"/>
    <x v="1"/>
    <x v="14"/>
    <x v="2"/>
    <n v="1"/>
    <n v="6.25"/>
    <n v="6.25"/>
    <x v="0"/>
    <n v="24"/>
    <x v="18"/>
    <x v="0"/>
    <n v="6.25"/>
    <b v="1"/>
  </r>
  <r>
    <s v="ORD-00253"/>
    <x v="136"/>
    <s v="22:25"/>
    <x v="1"/>
    <x v="17"/>
    <x v="0"/>
    <n v="1"/>
    <n v="15.95"/>
    <n v="15.95"/>
    <x v="3"/>
    <n v="18"/>
    <x v="16"/>
    <x v="0"/>
    <n v="15.95"/>
    <b v="1"/>
  </r>
  <r>
    <s v="ORD-00254"/>
    <x v="168"/>
    <s v="17:50"/>
    <x v="1"/>
    <x v="13"/>
    <x v="0"/>
    <n v="2"/>
    <n v="13.5"/>
    <n v="27"/>
    <x v="2"/>
    <n v="5"/>
    <x v="17"/>
    <x v="0"/>
    <n v="27"/>
    <b v="1"/>
  </r>
  <r>
    <s v="ORD-00255"/>
    <x v="151"/>
    <s v="12:00"/>
    <x v="0"/>
    <x v="11"/>
    <x v="0"/>
    <n v="1"/>
    <n v="12.5"/>
    <n v="12.5"/>
    <x v="0"/>
    <n v="30"/>
    <x v="21"/>
    <x v="0"/>
    <n v="12.5"/>
    <b v="1"/>
  </r>
  <r>
    <s v="ORD-00256"/>
    <x v="169"/>
    <s v="17:00"/>
    <x v="1"/>
    <x v="4"/>
    <x v="1"/>
    <n v="1"/>
    <n v="2.8"/>
    <n v="2.8"/>
    <x v="0"/>
    <n v="1"/>
    <x v="10"/>
    <x v="0"/>
    <n v="2.8"/>
    <b v="1"/>
  </r>
  <r>
    <s v="ORD-00257"/>
    <x v="116"/>
    <s v="19:00"/>
    <x v="1"/>
    <x v="1"/>
    <x v="1"/>
    <n v="2"/>
    <n v="3.1"/>
    <n v="6.2"/>
    <x v="1"/>
    <n v="6"/>
    <x v="1"/>
    <x v="0"/>
    <n v="6.2"/>
    <b v="1"/>
  </r>
  <r>
    <s v="ORD-00258"/>
    <x v="143"/>
    <s v="18:15"/>
    <x v="1"/>
    <x v="9"/>
    <x v="1"/>
    <n v="1"/>
    <n v="3.75"/>
    <n v="3.75"/>
    <x v="2"/>
    <n v="9"/>
    <x v="19"/>
    <x v="0"/>
    <n v="3.75"/>
    <b v="1"/>
  </r>
  <r>
    <s v="ORD-00259"/>
    <x v="16"/>
    <s v="14:35"/>
    <x v="0"/>
    <x v="18"/>
    <x v="1"/>
    <n v="1"/>
    <n v="6.5"/>
    <n v="6.5"/>
    <x v="1"/>
    <n v="28"/>
    <x v="0"/>
    <x v="0"/>
    <n v="6.5"/>
    <b v="1"/>
  </r>
  <r>
    <s v="ORD-00260"/>
    <x v="1"/>
    <s v="14:30"/>
    <x v="0"/>
    <x v="4"/>
    <x v="1"/>
    <n v="1"/>
    <n v="2.8"/>
    <n v="2.8"/>
    <x v="0"/>
    <n v="1"/>
    <x v="20"/>
    <x v="0"/>
    <n v="2.8"/>
    <b v="1"/>
  </r>
  <r>
    <s v="ORD-00261"/>
    <x v="170"/>
    <s v="20:50"/>
    <x v="1"/>
    <x v="14"/>
    <x v="2"/>
    <n v="1"/>
    <n v="6.25"/>
    <n v="6.25"/>
    <x v="1"/>
    <n v="8"/>
    <x v="26"/>
    <x v="0"/>
    <n v="6.25"/>
    <b v="1"/>
  </r>
  <r>
    <s v="ORD-00262"/>
    <x v="67"/>
    <s v="11:50"/>
    <x v="0"/>
    <x v="6"/>
    <x v="2"/>
    <n v="3"/>
    <n v="5.5"/>
    <n v="16.5"/>
    <x v="1"/>
    <n v="22"/>
    <x v="4"/>
    <x v="0"/>
    <n v="16.5"/>
    <b v="1"/>
  </r>
  <r>
    <s v="ORD-00263"/>
    <x v="171"/>
    <s v="12:45"/>
    <x v="0"/>
    <x v="8"/>
    <x v="0"/>
    <n v="2"/>
    <n v="14.5"/>
    <n v="29"/>
    <x v="1"/>
    <n v="10"/>
    <x v="13"/>
    <x v="0"/>
    <n v="29"/>
    <b v="1"/>
  </r>
  <r>
    <s v="ORD-00264"/>
    <x v="144"/>
    <s v="20:50"/>
    <x v="1"/>
    <x v="4"/>
    <x v="1"/>
    <n v="1"/>
    <n v="2.8"/>
    <n v="0"/>
    <x v="1"/>
    <n v="24"/>
    <x v="1"/>
    <x v="2"/>
    <n v="2.8"/>
    <b v="1"/>
  </r>
  <r>
    <s v="ORD-00265"/>
    <x v="16"/>
    <s v="19:00"/>
    <x v="1"/>
    <x v="10"/>
    <x v="0"/>
    <n v="1"/>
    <n v="11.95"/>
    <n v="11.95"/>
    <x v="0"/>
    <n v="20"/>
    <x v="2"/>
    <x v="0"/>
    <n v="11.95"/>
    <b v="1"/>
  </r>
  <r>
    <s v="ORD-00266"/>
    <x v="172"/>
    <s v="13:35"/>
    <x v="0"/>
    <x v="16"/>
    <x v="1"/>
    <n v="1"/>
    <n v="3.25"/>
    <n v="3.25"/>
    <x v="0"/>
    <n v="13"/>
    <x v="8"/>
    <x v="0"/>
    <n v="3.25"/>
    <b v="1"/>
  </r>
  <r>
    <s v="ORD-00267"/>
    <x v="57"/>
    <s v="15:20"/>
    <x v="0"/>
    <x v="0"/>
    <x v="0"/>
    <n v="2"/>
    <n v="9.9499999999999993"/>
    <n v="19.899999999999999"/>
    <x v="0"/>
    <n v="26"/>
    <x v="7"/>
    <x v="0"/>
    <n v="19.899999999999999"/>
    <b v="1"/>
  </r>
  <r>
    <s v="ORD-00268"/>
    <x v="25"/>
    <s v="11:05"/>
    <x v="0"/>
    <x v="2"/>
    <x v="0"/>
    <n v="3"/>
    <n v="11.5"/>
    <n v="34.5"/>
    <x v="2"/>
    <n v="12"/>
    <x v="13"/>
    <x v="0"/>
    <n v="34.5"/>
    <b v="1"/>
  </r>
  <r>
    <s v="ORD-00269"/>
    <x v="173"/>
    <s v="12:30"/>
    <x v="0"/>
    <x v="15"/>
    <x v="3"/>
    <n v="1"/>
    <n v="5.75"/>
    <n v="5.75"/>
    <x v="0"/>
    <n v="12"/>
    <x v="2"/>
    <x v="0"/>
    <n v="5.75"/>
    <b v="1"/>
  </r>
  <r>
    <s v="ORD-00270"/>
    <x v="108"/>
    <s v="17:20"/>
    <x v="1"/>
    <x v="12"/>
    <x v="3"/>
    <n v="1"/>
    <n v="7.25"/>
    <n v="7.25"/>
    <x v="3"/>
    <n v="24"/>
    <x v="17"/>
    <x v="0"/>
    <n v="7.25"/>
    <b v="1"/>
  </r>
  <r>
    <s v="ORD-00271"/>
    <x v="164"/>
    <s v="18:50"/>
    <x v="1"/>
    <x v="7"/>
    <x v="3"/>
    <n v="1"/>
    <n v="6.95"/>
    <n v="6.95"/>
    <x v="1"/>
    <n v="3"/>
    <x v="8"/>
    <x v="0"/>
    <n v="6.95"/>
    <b v="1"/>
  </r>
  <r>
    <s v="ORD-00272"/>
    <x v="174"/>
    <s v="20:05"/>
    <x v="1"/>
    <x v="3"/>
    <x v="2"/>
    <n v="1"/>
    <n v="8.5"/>
    <n v="8.5"/>
    <x v="0"/>
    <n v="24"/>
    <x v="23"/>
    <x v="0"/>
    <n v="8.5"/>
    <b v="1"/>
  </r>
  <r>
    <s v="ORD-00273"/>
    <x v="175"/>
    <s v="18:20"/>
    <x v="1"/>
    <x v="2"/>
    <x v="0"/>
    <n v="3"/>
    <n v="11.5"/>
    <n v="34.5"/>
    <x v="1"/>
    <n v="28"/>
    <x v="21"/>
    <x v="0"/>
    <n v="34.5"/>
    <b v="1"/>
  </r>
  <r>
    <s v="ORD-00274"/>
    <x v="152"/>
    <s v="22:45"/>
    <x v="1"/>
    <x v="8"/>
    <x v="0"/>
    <n v="1"/>
    <n v="14.5"/>
    <n v="14.5"/>
    <x v="1"/>
    <n v="23"/>
    <x v="7"/>
    <x v="0"/>
    <n v="14.5"/>
    <b v="1"/>
  </r>
  <r>
    <s v="ORD-00275"/>
    <x v="41"/>
    <s v="14:25"/>
    <x v="0"/>
    <x v="19"/>
    <x v="2"/>
    <n v="2"/>
    <n v="7.95"/>
    <n v="15.9"/>
    <x v="1"/>
    <n v="8"/>
    <x v="24"/>
    <x v="0"/>
    <n v="15.9"/>
    <b v="1"/>
  </r>
  <r>
    <s v="ORD-00276"/>
    <x v="146"/>
    <s v="20:25"/>
    <x v="1"/>
    <x v="10"/>
    <x v="0"/>
    <n v="3"/>
    <n v="11.95"/>
    <n v="35.85"/>
    <x v="3"/>
    <n v="19"/>
    <x v="17"/>
    <x v="0"/>
    <n v="35.849999999999994"/>
    <b v="1"/>
  </r>
  <r>
    <s v="ORD-00277"/>
    <x v="176"/>
    <s v="21:00"/>
    <x v="1"/>
    <x v="15"/>
    <x v="3"/>
    <n v="3"/>
    <n v="5.75"/>
    <n v="17.25"/>
    <x v="1"/>
    <n v="23"/>
    <x v="7"/>
    <x v="0"/>
    <n v="17.25"/>
    <b v="1"/>
  </r>
  <r>
    <s v="ORD-00278"/>
    <x v="177"/>
    <s v="18:50"/>
    <x v="1"/>
    <x v="19"/>
    <x v="2"/>
    <n v="1"/>
    <n v="7.95"/>
    <n v="7.95"/>
    <x v="0"/>
    <n v="5"/>
    <x v="13"/>
    <x v="0"/>
    <n v="7.95"/>
    <b v="1"/>
  </r>
  <r>
    <s v="ORD-00279"/>
    <x v="165"/>
    <s v="15:35"/>
    <x v="0"/>
    <x v="18"/>
    <x v="1"/>
    <n v="1"/>
    <n v="6.5"/>
    <n v="6.5"/>
    <x v="0"/>
    <n v="14"/>
    <x v="19"/>
    <x v="0"/>
    <n v="6.5"/>
    <b v="1"/>
  </r>
  <r>
    <s v="ORD-00280"/>
    <x v="178"/>
    <s v="21:45"/>
    <x v="1"/>
    <x v="5"/>
    <x v="0"/>
    <n v="1"/>
    <n v="12.95"/>
    <n v="12.95"/>
    <x v="0"/>
    <n v="22"/>
    <x v="2"/>
    <x v="0"/>
    <n v="12.95"/>
    <b v="1"/>
  </r>
  <r>
    <s v="ORD-00281"/>
    <x v="179"/>
    <s v="17:45"/>
    <x v="1"/>
    <x v="7"/>
    <x v="3"/>
    <n v="3"/>
    <n v="6.95"/>
    <n v="20.85"/>
    <x v="1"/>
    <n v="1"/>
    <x v="23"/>
    <x v="0"/>
    <n v="20.85"/>
    <b v="1"/>
  </r>
  <r>
    <s v="ORD-00282"/>
    <x v="101"/>
    <s v="21:40"/>
    <x v="1"/>
    <x v="18"/>
    <x v="1"/>
    <n v="2"/>
    <n v="6.5"/>
    <n v="13"/>
    <x v="0"/>
    <n v="15"/>
    <x v="5"/>
    <x v="0"/>
    <n v="13"/>
    <b v="1"/>
  </r>
  <r>
    <s v="ORD-00283"/>
    <x v="180"/>
    <s v="21:55"/>
    <x v="1"/>
    <x v="1"/>
    <x v="1"/>
    <n v="1"/>
    <n v="3.1"/>
    <n v="3.1"/>
    <x v="3"/>
    <n v="30"/>
    <x v="24"/>
    <x v="0"/>
    <n v="3.1"/>
    <b v="1"/>
  </r>
  <r>
    <s v="ORD-00284"/>
    <x v="33"/>
    <s v="22:10"/>
    <x v="1"/>
    <x v="3"/>
    <x v="2"/>
    <n v="1"/>
    <n v="8.5"/>
    <n v="8.5"/>
    <x v="1"/>
    <n v="26"/>
    <x v="17"/>
    <x v="0"/>
    <n v="8.5"/>
    <b v="1"/>
  </r>
  <r>
    <s v="ORD-00285"/>
    <x v="169"/>
    <s v="11:35"/>
    <x v="0"/>
    <x v="15"/>
    <x v="3"/>
    <n v="1"/>
    <n v="5.75"/>
    <n v="5.75"/>
    <x v="2"/>
    <n v="1"/>
    <x v="27"/>
    <x v="0"/>
    <n v="5.75"/>
    <b v="1"/>
  </r>
  <r>
    <s v="ORD-00286"/>
    <x v="181"/>
    <s v="18:55"/>
    <x v="1"/>
    <x v="0"/>
    <x v="0"/>
    <n v="1"/>
    <n v="9.9499999999999993"/>
    <n v="9.9499999999999993"/>
    <x v="1"/>
    <n v="6"/>
    <x v="6"/>
    <x v="0"/>
    <n v="9.9499999999999993"/>
    <b v="1"/>
  </r>
  <r>
    <s v="ORD-00287"/>
    <x v="182"/>
    <s v="18:30"/>
    <x v="1"/>
    <x v="17"/>
    <x v="0"/>
    <n v="1"/>
    <n v="15.95"/>
    <n v="15.95"/>
    <x v="3"/>
    <n v="20"/>
    <x v="20"/>
    <x v="0"/>
    <n v="15.95"/>
    <b v="1"/>
  </r>
  <r>
    <s v="ORD-00288"/>
    <x v="183"/>
    <s v="20:00"/>
    <x v="1"/>
    <x v="11"/>
    <x v="0"/>
    <n v="1"/>
    <n v="12.5"/>
    <n v="0"/>
    <x v="2"/>
    <n v="23"/>
    <x v="17"/>
    <x v="2"/>
    <n v="12.5"/>
    <b v="1"/>
  </r>
  <r>
    <s v="ORD-00289"/>
    <x v="53"/>
    <s v="21:10"/>
    <x v="1"/>
    <x v="3"/>
    <x v="2"/>
    <n v="1"/>
    <n v="8.5"/>
    <n v="8.5"/>
    <x v="0"/>
    <n v="16"/>
    <x v="23"/>
    <x v="0"/>
    <n v="8.5"/>
    <b v="1"/>
  </r>
  <r>
    <s v="ORD-00290"/>
    <x v="41"/>
    <s v="21:30"/>
    <x v="1"/>
    <x v="18"/>
    <x v="1"/>
    <n v="1"/>
    <n v="6.5"/>
    <n v="6.5"/>
    <x v="0"/>
    <n v="28"/>
    <x v="20"/>
    <x v="0"/>
    <n v="6.5"/>
    <b v="1"/>
  </r>
  <r>
    <s v="ORD-00291"/>
    <x v="184"/>
    <s v="22:20"/>
    <x v="1"/>
    <x v="9"/>
    <x v="1"/>
    <n v="2"/>
    <n v="3.75"/>
    <n v="7.5"/>
    <x v="1"/>
    <n v="10"/>
    <x v="7"/>
    <x v="0"/>
    <n v="7.5"/>
    <b v="1"/>
  </r>
  <r>
    <s v="ORD-00292"/>
    <x v="185"/>
    <s v="21:30"/>
    <x v="1"/>
    <x v="12"/>
    <x v="3"/>
    <n v="2"/>
    <n v="7.25"/>
    <n v="14.5"/>
    <x v="0"/>
    <n v="13"/>
    <x v="6"/>
    <x v="0"/>
    <n v="14.5"/>
    <b v="1"/>
  </r>
  <r>
    <s v="ORD-00293"/>
    <x v="26"/>
    <s v="22:50"/>
    <x v="1"/>
    <x v="17"/>
    <x v="0"/>
    <n v="1"/>
    <n v="15.95"/>
    <n v="15.95"/>
    <x v="0"/>
    <n v="27"/>
    <x v="19"/>
    <x v="0"/>
    <n v="15.95"/>
    <b v="1"/>
  </r>
  <r>
    <s v="ORD-00294"/>
    <x v="186"/>
    <s v="17:35"/>
    <x v="1"/>
    <x v="8"/>
    <x v="0"/>
    <n v="1"/>
    <n v="14.5"/>
    <n v="14.5"/>
    <x v="0"/>
    <n v="18"/>
    <x v="21"/>
    <x v="0"/>
    <n v="14.5"/>
    <b v="1"/>
  </r>
  <r>
    <s v="ORD-00295"/>
    <x v="65"/>
    <s v="20:30"/>
    <x v="1"/>
    <x v="15"/>
    <x v="3"/>
    <n v="1"/>
    <n v="5.75"/>
    <n v="5.75"/>
    <x v="1"/>
    <n v="8"/>
    <x v="0"/>
    <x v="0"/>
    <n v="5.75"/>
    <b v="1"/>
  </r>
  <r>
    <s v="ORD-00296"/>
    <x v="116"/>
    <s v="13:10"/>
    <x v="0"/>
    <x v="15"/>
    <x v="3"/>
    <n v="1"/>
    <n v="5.75"/>
    <n v="-5.75"/>
    <x v="0"/>
    <n v="25"/>
    <x v="5"/>
    <x v="1"/>
    <n v="5.75"/>
    <b v="1"/>
  </r>
  <r>
    <s v="ORD-00297"/>
    <x v="157"/>
    <s v="11:20"/>
    <x v="0"/>
    <x v="4"/>
    <x v="1"/>
    <n v="2"/>
    <n v="2.8"/>
    <n v="5.6"/>
    <x v="0"/>
    <n v="25"/>
    <x v="1"/>
    <x v="0"/>
    <n v="5.6"/>
    <b v="1"/>
  </r>
  <r>
    <s v="ORD-00298"/>
    <x v="166"/>
    <s v="17:55"/>
    <x v="1"/>
    <x v="0"/>
    <x v="0"/>
    <n v="1"/>
    <n v="9.9499999999999993"/>
    <n v="9.9499999999999993"/>
    <x v="1"/>
    <n v="15"/>
    <x v="8"/>
    <x v="0"/>
    <n v="9.9499999999999993"/>
    <b v="1"/>
  </r>
  <r>
    <s v="ORD-00299"/>
    <x v="64"/>
    <s v="17:15"/>
    <x v="1"/>
    <x v="11"/>
    <x v="0"/>
    <n v="2"/>
    <n v="12.5"/>
    <n v="25"/>
    <x v="0"/>
    <n v="20"/>
    <x v="7"/>
    <x v="0"/>
    <n v="25"/>
    <b v="1"/>
  </r>
  <r>
    <s v="ORD-00300"/>
    <x v="122"/>
    <s v="18:15"/>
    <x v="1"/>
    <x v="13"/>
    <x v="0"/>
    <n v="1"/>
    <n v="13.5"/>
    <n v="13.5"/>
    <x v="0"/>
    <n v="9"/>
    <x v="24"/>
    <x v="0"/>
    <n v="13.5"/>
    <b v="1"/>
  </r>
  <r>
    <s v="ORD-00301"/>
    <x v="140"/>
    <s v="13:20"/>
    <x v="0"/>
    <x v="18"/>
    <x v="1"/>
    <n v="1"/>
    <n v="6.5"/>
    <n v="6.5"/>
    <x v="1"/>
    <n v="4"/>
    <x v="20"/>
    <x v="0"/>
    <n v="6.5"/>
    <b v="1"/>
  </r>
  <r>
    <s v="ORD-00302"/>
    <x v="39"/>
    <s v="19:50"/>
    <x v="1"/>
    <x v="8"/>
    <x v="0"/>
    <n v="2"/>
    <n v="14.5"/>
    <n v="29"/>
    <x v="1"/>
    <n v="8"/>
    <x v="19"/>
    <x v="0"/>
    <n v="29"/>
    <b v="1"/>
  </r>
  <r>
    <s v="ORD-00303"/>
    <x v="187"/>
    <s v="22:30"/>
    <x v="1"/>
    <x v="16"/>
    <x v="1"/>
    <n v="1"/>
    <n v="3.25"/>
    <n v="3.25"/>
    <x v="1"/>
    <n v="15"/>
    <x v="9"/>
    <x v="0"/>
    <n v="3.25"/>
    <b v="1"/>
  </r>
  <r>
    <s v="ORD-00304"/>
    <x v="24"/>
    <s v="22:20"/>
    <x v="1"/>
    <x v="3"/>
    <x v="2"/>
    <n v="1"/>
    <n v="8.5"/>
    <n v="8.5"/>
    <x v="0"/>
    <n v="11"/>
    <x v="23"/>
    <x v="0"/>
    <n v="8.5"/>
    <b v="1"/>
  </r>
  <r>
    <s v="ORD-00305"/>
    <x v="24"/>
    <s v="20:50"/>
    <x v="1"/>
    <x v="3"/>
    <x v="2"/>
    <n v="2"/>
    <n v="8.5"/>
    <n v="17"/>
    <x v="1"/>
    <n v="27"/>
    <x v="4"/>
    <x v="0"/>
    <n v="17"/>
    <b v="1"/>
  </r>
  <r>
    <s v="ORD-00306"/>
    <x v="188"/>
    <s v="13:25"/>
    <x v="0"/>
    <x v="4"/>
    <x v="1"/>
    <n v="1"/>
    <n v="2.8"/>
    <n v="2.8"/>
    <x v="0"/>
    <n v="28"/>
    <x v="20"/>
    <x v="0"/>
    <n v="2.8"/>
    <b v="1"/>
  </r>
  <r>
    <s v="ORD-00307"/>
    <x v="189"/>
    <s v="17:00"/>
    <x v="1"/>
    <x v="10"/>
    <x v="0"/>
    <n v="2"/>
    <n v="11.95"/>
    <n v="23.9"/>
    <x v="0"/>
    <n v="6"/>
    <x v="29"/>
    <x v="0"/>
    <n v="23.9"/>
    <b v="1"/>
  </r>
  <r>
    <s v="ORD-00308"/>
    <x v="15"/>
    <s v="20:15"/>
    <x v="1"/>
    <x v="8"/>
    <x v="0"/>
    <n v="3"/>
    <n v="14.5"/>
    <n v="43.5"/>
    <x v="3"/>
    <n v="6"/>
    <x v="13"/>
    <x v="0"/>
    <n v="43.5"/>
    <b v="1"/>
  </r>
  <r>
    <s v="ORD-00309"/>
    <x v="116"/>
    <s v="13:20"/>
    <x v="0"/>
    <x v="5"/>
    <x v="0"/>
    <n v="1"/>
    <n v="12.95"/>
    <n v="12.95"/>
    <x v="0"/>
    <n v="10"/>
    <x v="19"/>
    <x v="0"/>
    <n v="12.95"/>
    <b v="1"/>
  </r>
  <r>
    <s v="ORD-00310"/>
    <x v="161"/>
    <s v="17:55"/>
    <x v="1"/>
    <x v="10"/>
    <x v="0"/>
    <n v="1"/>
    <n v="11.95"/>
    <n v="11.95"/>
    <x v="1"/>
    <n v="3"/>
    <x v="27"/>
    <x v="0"/>
    <n v="11.95"/>
    <b v="1"/>
  </r>
  <r>
    <s v="ORD-00311"/>
    <x v="121"/>
    <s v="20:00"/>
    <x v="1"/>
    <x v="2"/>
    <x v="0"/>
    <n v="2"/>
    <n v="11.5"/>
    <n v="23"/>
    <x v="0"/>
    <n v="5"/>
    <x v="23"/>
    <x v="0"/>
    <n v="23"/>
    <b v="1"/>
  </r>
  <r>
    <s v="ORD-00312"/>
    <x v="79"/>
    <s v="22:05"/>
    <x v="1"/>
    <x v="10"/>
    <x v="0"/>
    <n v="1"/>
    <n v="11.95"/>
    <n v="11.95"/>
    <x v="0"/>
    <n v="5"/>
    <x v="19"/>
    <x v="0"/>
    <n v="11.95"/>
    <b v="1"/>
  </r>
  <r>
    <s v="ORD-00313"/>
    <x v="160"/>
    <s v="22:10"/>
    <x v="1"/>
    <x v="5"/>
    <x v="0"/>
    <n v="1"/>
    <n v="12.95"/>
    <n v="12.95"/>
    <x v="0"/>
    <n v="12"/>
    <x v="8"/>
    <x v="0"/>
    <n v="12.95"/>
    <b v="1"/>
  </r>
  <r>
    <s v="ORD-00314"/>
    <x v="190"/>
    <s v="21:50"/>
    <x v="1"/>
    <x v="15"/>
    <x v="3"/>
    <n v="2"/>
    <n v="5.75"/>
    <n v="11.5"/>
    <x v="1"/>
    <n v="29"/>
    <x v="8"/>
    <x v="0"/>
    <n v="11.5"/>
    <b v="1"/>
  </r>
  <r>
    <s v="ORD-00315"/>
    <x v="43"/>
    <s v="20:25"/>
    <x v="1"/>
    <x v="12"/>
    <x v="3"/>
    <n v="1"/>
    <n v="7.25"/>
    <n v="7.25"/>
    <x v="0"/>
    <n v="8"/>
    <x v="17"/>
    <x v="0"/>
    <n v="7.25"/>
    <b v="1"/>
  </r>
  <r>
    <s v="ORD-00316"/>
    <x v="71"/>
    <s v="22:00"/>
    <x v="1"/>
    <x v="19"/>
    <x v="2"/>
    <n v="1"/>
    <n v="7.95"/>
    <n v="7.95"/>
    <x v="1"/>
    <n v="17"/>
    <x v="15"/>
    <x v="0"/>
    <n v="7.95"/>
    <b v="1"/>
  </r>
  <r>
    <s v="ORD-00317"/>
    <x v="191"/>
    <s v="11:15"/>
    <x v="0"/>
    <x v="16"/>
    <x v="1"/>
    <n v="1"/>
    <n v="3.25"/>
    <n v="3.25"/>
    <x v="3"/>
    <n v="17"/>
    <x v="1"/>
    <x v="0"/>
    <n v="3.25"/>
    <b v="1"/>
  </r>
  <r>
    <s v="ORD-00318"/>
    <x v="192"/>
    <s v="19:10"/>
    <x v="1"/>
    <x v="7"/>
    <x v="3"/>
    <n v="2"/>
    <n v="6.95"/>
    <n v="13.9"/>
    <x v="0"/>
    <n v="14"/>
    <x v="17"/>
    <x v="0"/>
    <n v="13.9"/>
    <b v="1"/>
  </r>
  <r>
    <s v="ORD-00319"/>
    <x v="184"/>
    <s v="17:00"/>
    <x v="1"/>
    <x v="18"/>
    <x v="1"/>
    <n v="1"/>
    <n v="6.5"/>
    <n v="6.5"/>
    <x v="0"/>
    <n v="26"/>
    <x v="7"/>
    <x v="0"/>
    <n v="6.5"/>
    <b v="1"/>
  </r>
  <r>
    <s v="ORD-00320"/>
    <x v="193"/>
    <s v="21:30"/>
    <x v="1"/>
    <x v="12"/>
    <x v="3"/>
    <n v="2"/>
    <n v="7.25"/>
    <n v="14.5"/>
    <x v="0"/>
    <n v="21"/>
    <x v="29"/>
    <x v="0"/>
    <n v="14.5"/>
    <b v="1"/>
  </r>
  <r>
    <s v="ORD-00321"/>
    <x v="11"/>
    <s v="13:05"/>
    <x v="0"/>
    <x v="1"/>
    <x v="1"/>
    <n v="3"/>
    <n v="3.1"/>
    <n v="9.3000000000000007"/>
    <x v="2"/>
    <n v="21"/>
    <x v="30"/>
    <x v="0"/>
    <n v="9.3000000000000007"/>
    <b v="1"/>
  </r>
  <r>
    <s v="ORD-00322"/>
    <x v="72"/>
    <s v="14:55"/>
    <x v="0"/>
    <x v="0"/>
    <x v="0"/>
    <n v="1"/>
    <n v="9.9499999999999993"/>
    <n v="9.9499999999999993"/>
    <x v="0"/>
    <n v="30"/>
    <x v="2"/>
    <x v="0"/>
    <n v="9.9499999999999993"/>
    <b v="1"/>
  </r>
  <r>
    <s v="ORD-00323"/>
    <x v="194"/>
    <s v="17:20"/>
    <x v="1"/>
    <x v="17"/>
    <x v="0"/>
    <n v="1"/>
    <n v="15.95"/>
    <n v="15.95"/>
    <x v="3"/>
    <n v="16"/>
    <x v="17"/>
    <x v="0"/>
    <n v="15.95"/>
    <b v="1"/>
  </r>
  <r>
    <s v="ORD-00324"/>
    <x v="29"/>
    <s v="22:20"/>
    <x v="1"/>
    <x v="17"/>
    <x v="0"/>
    <n v="1"/>
    <n v="15.95"/>
    <n v="0"/>
    <x v="3"/>
    <n v="25"/>
    <x v="17"/>
    <x v="2"/>
    <n v="15.95"/>
    <b v="1"/>
  </r>
  <r>
    <s v="ORD-00325"/>
    <x v="135"/>
    <s v="17:25"/>
    <x v="1"/>
    <x v="12"/>
    <x v="3"/>
    <n v="1"/>
    <n v="7.25"/>
    <n v="7.25"/>
    <x v="1"/>
    <n v="21"/>
    <x v="20"/>
    <x v="0"/>
    <n v="7.25"/>
    <b v="1"/>
  </r>
  <r>
    <s v="ORD-00326"/>
    <x v="195"/>
    <s v="17:35"/>
    <x v="1"/>
    <x v="18"/>
    <x v="1"/>
    <n v="1"/>
    <n v="6.5"/>
    <n v="6.5"/>
    <x v="2"/>
    <n v="9"/>
    <x v="25"/>
    <x v="0"/>
    <n v="6.5"/>
    <b v="1"/>
  </r>
  <r>
    <s v="ORD-00327"/>
    <x v="33"/>
    <s v="15:00"/>
    <x v="0"/>
    <x v="13"/>
    <x v="0"/>
    <n v="2"/>
    <n v="13.5"/>
    <n v="27"/>
    <x v="3"/>
    <n v="13"/>
    <x v="10"/>
    <x v="0"/>
    <n v="27"/>
    <b v="1"/>
  </r>
  <r>
    <s v="ORD-00328"/>
    <x v="196"/>
    <s v="17:40"/>
    <x v="1"/>
    <x v="12"/>
    <x v="3"/>
    <n v="1"/>
    <n v="7.25"/>
    <n v="7.25"/>
    <x v="3"/>
    <n v="14"/>
    <x v="23"/>
    <x v="0"/>
    <n v="7.25"/>
    <b v="1"/>
  </r>
  <r>
    <s v="ORD-00329"/>
    <x v="52"/>
    <s v="11:45"/>
    <x v="0"/>
    <x v="3"/>
    <x v="2"/>
    <n v="1"/>
    <n v="8.5"/>
    <n v="8.5"/>
    <x v="0"/>
    <n v="26"/>
    <x v="19"/>
    <x v="0"/>
    <n v="8.5"/>
    <b v="1"/>
  </r>
  <r>
    <s v="ORD-00330"/>
    <x v="197"/>
    <s v="17:35"/>
    <x v="1"/>
    <x v="19"/>
    <x v="2"/>
    <n v="2"/>
    <n v="7.95"/>
    <n v="15.9"/>
    <x v="1"/>
    <n v="11"/>
    <x v="8"/>
    <x v="0"/>
    <n v="15.9"/>
    <b v="1"/>
  </r>
  <r>
    <s v="ORD-00331"/>
    <x v="195"/>
    <s v="12:20"/>
    <x v="0"/>
    <x v="18"/>
    <x v="1"/>
    <n v="2"/>
    <n v="6.5"/>
    <n v="0"/>
    <x v="3"/>
    <n v="19"/>
    <x v="3"/>
    <x v="2"/>
    <n v="13"/>
    <b v="1"/>
  </r>
  <r>
    <s v="ORD-00332"/>
    <x v="175"/>
    <s v="21:15"/>
    <x v="1"/>
    <x v="8"/>
    <x v="0"/>
    <n v="1"/>
    <n v="14.5"/>
    <n v="14.5"/>
    <x v="1"/>
    <n v="1"/>
    <x v="7"/>
    <x v="0"/>
    <n v="14.5"/>
    <b v="1"/>
  </r>
  <r>
    <s v="ORD-00333"/>
    <x v="198"/>
    <s v="22:00"/>
    <x v="1"/>
    <x v="14"/>
    <x v="2"/>
    <n v="1"/>
    <n v="6.25"/>
    <n v="6.25"/>
    <x v="1"/>
    <n v="10"/>
    <x v="9"/>
    <x v="0"/>
    <n v="6.25"/>
    <b v="1"/>
  </r>
  <r>
    <s v="ORD-00334"/>
    <x v="98"/>
    <s v="20:35"/>
    <x v="1"/>
    <x v="13"/>
    <x v="0"/>
    <n v="4"/>
    <n v="13.5"/>
    <n v="54"/>
    <x v="1"/>
    <n v="23"/>
    <x v="23"/>
    <x v="0"/>
    <n v="54"/>
    <b v="1"/>
  </r>
  <r>
    <s v="ORD-00335"/>
    <x v="199"/>
    <s v="21:30"/>
    <x v="1"/>
    <x v="3"/>
    <x v="2"/>
    <n v="1"/>
    <n v="8.5"/>
    <n v="0"/>
    <x v="0"/>
    <n v="5"/>
    <x v="6"/>
    <x v="2"/>
    <n v="8.5"/>
    <b v="1"/>
  </r>
  <r>
    <s v="ORD-00336"/>
    <x v="200"/>
    <s v="15:00"/>
    <x v="0"/>
    <x v="12"/>
    <x v="3"/>
    <n v="2"/>
    <n v="7.25"/>
    <n v="14.5"/>
    <x v="1"/>
    <n v="8"/>
    <x v="8"/>
    <x v="0"/>
    <n v="14.5"/>
    <b v="1"/>
  </r>
  <r>
    <s v="ORD-00337"/>
    <x v="171"/>
    <s v="20:55"/>
    <x v="1"/>
    <x v="14"/>
    <x v="2"/>
    <n v="1"/>
    <n v="6.25"/>
    <n v="6.25"/>
    <x v="2"/>
    <n v="5"/>
    <x v="13"/>
    <x v="0"/>
    <n v="6.25"/>
    <b v="1"/>
  </r>
  <r>
    <s v="ORD-00338"/>
    <x v="181"/>
    <s v="12:35"/>
    <x v="0"/>
    <x v="15"/>
    <x v="3"/>
    <n v="1"/>
    <n v="5.75"/>
    <n v="5.75"/>
    <x v="0"/>
    <n v="18"/>
    <x v="26"/>
    <x v="0"/>
    <n v="5.75"/>
    <b v="1"/>
  </r>
  <r>
    <s v="ORD-00339"/>
    <x v="104"/>
    <s v="20:20"/>
    <x v="1"/>
    <x v="10"/>
    <x v="0"/>
    <n v="1"/>
    <n v="11.95"/>
    <n v="11.95"/>
    <x v="1"/>
    <n v="20"/>
    <x v="10"/>
    <x v="0"/>
    <n v="11.95"/>
    <b v="1"/>
  </r>
  <r>
    <s v="ORD-00340"/>
    <x v="172"/>
    <s v="12:25"/>
    <x v="0"/>
    <x v="7"/>
    <x v="3"/>
    <n v="1"/>
    <n v="6.95"/>
    <n v="6.95"/>
    <x v="1"/>
    <n v="10"/>
    <x v="18"/>
    <x v="0"/>
    <n v="6.95"/>
    <b v="1"/>
  </r>
  <r>
    <s v="ORD-00341"/>
    <x v="137"/>
    <s v="14:35"/>
    <x v="0"/>
    <x v="4"/>
    <x v="1"/>
    <n v="2"/>
    <n v="2.8"/>
    <n v="5.6"/>
    <x v="1"/>
    <n v="26"/>
    <x v="5"/>
    <x v="0"/>
    <n v="5.6"/>
    <b v="1"/>
  </r>
  <r>
    <s v="ORD-00342"/>
    <x v="192"/>
    <s v="12:10"/>
    <x v="0"/>
    <x v="11"/>
    <x v="0"/>
    <n v="2"/>
    <n v="12.5"/>
    <n v="25"/>
    <x v="0"/>
    <n v="22"/>
    <x v="8"/>
    <x v="0"/>
    <n v="25"/>
    <b v="1"/>
  </r>
  <r>
    <s v="ORD-00343"/>
    <x v="113"/>
    <s v="19:05"/>
    <x v="1"/>
    <x v="2"/>
    <x v="0"/>
    <n v="4"/>
    <n v="11.5"/>
    <n v="46"/>
    <x v="1"/>
    <n v="5"/>
    <x v="27"/>
    <x v="0"/>
    <n v="46"/>
    <b v="1"/>
  </r>
  <r>
    <s v="ORD-00344"/>
    <x v="153"/>
    <s v="14:00"/>
    <x v="0"/>
    <x v="17"/>
    <x v="0"/>
    <n v="3"/>
    <n v="15.95"/>
    <n v="47.85"/>
    <x v="0"/>
    <n v="27"/>
    <x v="9"/>
    <x v="0"/>
    <n v="47.849999999999994"/>
    <b v="1"/>
  </r>
  <r>
    <s v="ORD-00345"/>
    <x v="142"/>
    <s v="14:10"/>
    <x v="0"/>
    <x v="3"/>
    <x v="2"/>
    <n v="1"/>
    <n v="8.5"/>
    <n v="8.5"/>
    <x v="1"/>
    <n v="5"/>
    <x v="2"/>
    <x v="0"/>
    <n v="8.5"/>
    <b v="1"/>
  </r>
  <r>
    <s v="ORD-00346"/>
    <x v="7"/>
    <s v="20:30"/>
    <x v="1"/>
    <x v="4"/>
    <x v="1"/>
    <n v="1"/>
    <n v="2.8"/>
    <n v="2.8"/>
    <x v="0"/>
    <n v="9"/>
    <x v="19"/>
    <x v="0"/>
    <n v="2.8"/>
    <b v="1"/>
  </r>
  <r>
    <s v="ORD-00347"/>
    <x v="2"/>
    <s v="15:15"/>
    <x v="0"/>
    <x v="4"/>
    <x v="1"/>
    <n v="2"/>
    <n v="2.8"/>
    <n v="5.6"/>
    <x v="2"/>
    <n v="18"/>
    <x v="0"/>
    <x v="0"/>
    <n v="5.6"/>
    <b v="1"/>
  </r>
  <r>
    <s v="ORD-00348"/>
    <x v="94"/>
    <s v="21:25"/>
    <x v="1"/>
    <x v="7"/>
    <x v="3"/>
    <n v="1"/>
    <n v="6.95"/>
    <n v="6.95"/>
    <x v="0"/>
    <n v="11"/>
    <x v="2"/>
    <x v="0"/>
    <n v="6.95"/>
    <b v="1"/>
  </r>
  <r>
    <s v="ORD-00349"/>
    <x v="134"/>
    <s v="19:00"/>
    <x v="1"/>
    <x v="16"/>
    <x v="1"/>
    <n v="1"/>
    <n v="3.25"/>
    <n v="-3.25"/>
    <x v="1"/>
    <n v="6"/>
    <x v="22"/>
    <x v="1"/>
    <n v="3.25"/>
    <b v="1"/>
  </r>
  <r>
    <s v="ORD-00350"/>
    <x v="144"/>
    <s v="11:15"/>
    <x v="0"/>
    <x v="18"/>
    <x v="1"/>
    <n v="2"/>
    <n v="6.5"/>
    <n v="13"/>
    <x v="3"/>
    <n v="12"/>
    <x v="16"/>
    <x v="0"/>
    <n v="13"/>
    <b v="1"/>
  </r>
  <r>
    <s v="ORD-00351"/>
    <x v="184"/>
    <s v="15:25"/>
    <x v="0"/>
    <x v="3"/>
    <x v="2"/>
    <n v="3"/>
    <n v="8.5"/>
    <n v="25.5"/>
    <x v="0"/>
    <n v="19"/>
    <x v="2"/>
    <x v="0"/>
    <n v="25.5"/>
    <b v="1"/>
  </r>
  <r>
    <s v="ORD-00352"/>
    <x v="88"/>
    <s v="20:40"/>
    <x v="1"/>
    <x v="19"/>
    <x v="2"/>
    <n v="1"/>
    <n v="7.95"/>
    <n v="7.95"/>
    <x v="1"/>
    <n v="3"/>
    <x v="2"/>
    <x v="0"/>
    <n v="7.95"/>
    <b v="1"/>
  </r>
  <r>
    <s v="ORD-00353"/>
    <x v="201"/>
    <s v="14:00"/>
    <x v="0"/>
    <x v="14"/>
    <x v="2"/>
    <n v="3"/>
    <n v="6.25"/>
    <n v="18.75"/>
    <x v="3"/>
    <n v="6"/>
    <x v="8"/>
    <x v="0"/>
    <n v="18.75"/>
    <b v="1"/>
  </r>
  <r>
    <s v="ORD-00354"/>
    <x v="105"/>
    <s v="12:45"/>
    <x v="0"/>
    <x v="8"/>
    <x v="0"/>
    <n v="2"/>
    <n v="14.5"/>
    <n v="29"/>
    <x v="0"/>
    <n v="28"/>
    <x v="0"/>
    <x v="0"/>
    <n v="29"/>
    <b v="1"/>
  </r>
  <r>
    <s v="ORD-00355"/>
    <x v="48"/>
    <s v="14:45"/>
    <x v="0"/>
    <x v="10"/>
    <x v="0"/>
    <n v="1"/>
    <n v="11.95"/>
    <n v="11.95"/>
    <x v="2"/>
    <n v="14"/>
    <x v="20"/>
    <x v="0"/>
    <n v="11.95"/>
    <b v="1"/>
  </r>
  <r>
    <s v="ORD-00356"/>
    <x v="26"/>
    <s v="18:55"/>
    <x v="1"/>
    <x v="4"/>
    <x v="1"/>
    <n v="2"/>
    <n v="2.8"/>
    <n v="5.6"/>
    <x v="0"/>
    <n v="26"/>
    <x v="7"/>
    <x v="0"/>
    <n v="5.6"/>
    <b v="1"/>
  </r>
  <r>
    <s v="ORD-00357"/>
    <x v="137"/>
    <s v="13:10"/>
    <x v="0"/>
    <x v="17"/>
    <x v="0"/>
    <n v="2"/>
    <n v="15.95"/>
    <n v="31.9"/>
    <x v="3"/>
    <n v="25"/>
    <x v="13"/>
    <x v="0"/>
    <n v="31.9"/>
    <b v="1"/>
  </r>
  <r>
    <s v="ORD-00358"/>
    <x v="1"/>
    <s v="13:45"/>
    <x v="0"/>
    <x v="0"/>
    <x v="0"/>
    <n v="2"/>
    <n v="9.9499999999999993"/>
    <n v="19.899999999999999"/>
    <x v="0"/>
    <n v="30"/>
    <x v="2"/>
    <x v="0"/>
    <n v="19.899999999999999"/>
    <b v="1"/>
  </r>
  <r>
    <s v="ORD-00359"/>
    <x v="153"/>
    <s v="18:25"/>
    <x v="1"/>
    <x v="14"/>
    <x v="2"/>
    <n v="1"/>
    <n v="6.25"/>
    <n v="6.25"/>
    <x v="3"/>
    <n v="24"/>
    <x v="21"/>
    <x v="0"/>
    <n v="6.25"/>
    <b v="1"/>
  </r>
  <r>
    <s v="ORD-00360"/>
    <x v="155"/>
    <s v="12:15"/>
    <x v="0"/>
    <x v="5"/>
    <x v="0"/>
    <n v="1"/>
    <n v="12.95"/>
    <n v="12.95"/>
    <x v="1"/>
    <n v="24"/>
    <x v="4"/>
    <x v="0"/>
    <n v="12.95"/>
    <b v="1"/>
  </r>
  <r>
    <s v="ORD-00361"/>
    <x v="202"/>
    <s v="20:10"/>
    <x v="1"/>
    <x v="12"/>
    <x v="3"/>
    <n v="1"/>
    <n v="7.25"/>
    <n v="7.25"/>
    <x v="0"/>
    <n v="27"/>
    <x v="10"/>
    <x v="0"/>
    <n v="7.25"/>
    <b v="1"/>
  </r>
  <r>
    <s v="ORD-00362"/>
    <x v="121"/>
    <s v="11:00"/>
    <x v="0"/>
    <x v="19"/>
    <x v="2"/>
    <n v="1"/>
    <n v="7.95"/>
    <n v="7.95"/>
    <x v="1"/>
    <n v="4"/>
    <x v="17"/>
    <x v="0"/>
    <n v="7.95"/>
    <b v="1"/>
  </r>
  <r>
    <s v="ORD-00363"/>
    <x v="93"/>
    <s v="18:55"/>
    <x v="1"/>
    <x v="5"/>
    <x v="0"/>
    <n v="1"/>
    <n v="12.95"/>
    <n v="12.95"/>
    <x v="0"/>
    <n v="29"/>
    <x v="0"/>
    <x v="0"/>
    <n v="12.95"/>
    <b v="1"/>
  </r>
  <r>
    <s v="ORD-00364"/>
    <x v="134"/>
    <s v="22:10"/>
    <x v="1"/>
    <x v="9"/>
    <x v="1"/>
    <n v="3"/>
    <n v="3.75"/>
    <n v="11.25"/>
    <x v="1"/>
    <n v="2"/>
    <x v="12"/>
    <x v="0"/>
    <n v="11.25"/>
    <b v="1"/>
  </r>
  <r>
    <s v="ORD-00365"/>
    <x v="203"/>
    <s v="20:55"/>
    <x v="1"/>
    <x v="4"/>
    <x v="1"/>
    <n v="2"/>
    <n v="2.8"/>
    <n v="5.6"/>
    <x v="1"/>
    <n v="10"/>
    <x v="3"/>
    <x v="0"/>
    <n v="5.6"/>
    <b v="1"/>
  </r>
  <r>
    <s v="ORD-00366"/>
    <x v="204"/>
    <s v="21:35"/>
    <x v="1"/>
    <x v="8"/>
    <x v="0"/>
    <n v="1"/>
    <n v="14.5"/>
    <n v="14.5"/>
    <x v="1"/>
    <n v="14"/>
    <x v="8"/>
    <x v="0"/>
    <n v="14.5"/>
    <b v="1"/>
  </r>
  <r>
    <s v="ORD-00367"/>
    <x v="139"/>
    <s v="11:15"/>
    <x v="0"/>
    <x v="17"/>
    <x v="0"/>
    <n v="2"/>
    <n v="15.95"/>
    <n v="31.9"/>
    <x v="0"/>
    <n v="26"/>
    <x v="14"/>
    <x v="0"/>
    <n v="31.9"/>
    <b v="1"/>
  </r>
  <r>
    <s v="ORD-00368"/>
    <x v="87"/>
    <s v="19:05"/>
    <x v="1"/>
    <x v="4"/>
    <x v="1"/>
    <n v="1"/>
    <n v="2.8"/>
    <n v="2.8"/>
    <x v="0"/>
    <n v="29"/>
    <x v="14"/>
    <x v="0"/>
    <n v="2.8"/>
    <b v="1"/>
  </r>
  <r>
    <s v="ORD-00369"/>
    <x v="205"/>
    <s v="19:35"/>
    <x v="1"/>
    <x v="15"/>
    <x v="3"/>
    <n v="1"/>
    <n v="5.75"/>
    <n v="5.75"/>
    <x v="0"/>
    <n v="23"/>
    <x v="10"/>
    <x v="0"/>
    <n v="5.75"/>
    <b v="1"/>
  </r>
  <r>
    <s v="ORD-00370"/>
    <x v="113"/>
    <s v="21:30"/>
    <x v="1"/>
    <x v="18"/>
    <x v="1"/>
    <n v="1"/>
    <n v="6.5"/>
    <n v="6.5"/>
    <x v="0"/>
    <n v="27"/>
    <x v="5"/>
    <x v="0"/>
    <n v="6.5"/>
    <b v="1"/>
  </r>
  <r>
    <s v="ORD-00371"/>
    <x v="29"/>
    <s v="21:50"/>
    <x v="1"/>
    <x v="16"/>
    <x v="1"/>
    <n v="1"/>
    <n v="3.25"/>
    <n v="3.25"/>
    <x v="3"/>
    <n v="29"/>
    <x v="0"/>
    <x v="0"/>
    <n v="3.25"/>
    <b v="1"/>
  </r>
  <r>
    <s v="ORD-00372"/>
    <x v="206"/>
    <s v="21:45"/>
    <x v="1"/>
    <x v="9"/>
    <x v="1"/>
    <n v="1"/>
    <n v="3.75"/>
    <n v="0"/>
    <x v="1"/>
    <n v="15"/>
    <x v="14"/>
    <x v="2"/>
    <n v="3.75"/>
    <b v="1"/>
  </r>
  <r>
    <s v="ORD-00373"/>
    <x v="179"/>
    <s v="18:10"/>
    <x v="1"/>
    <x v="13"/>
    <x v="0"/>
    <n v="1"/>
    <n v="13.5"/>
    <n v="13.5"/>
    <x v="1"/>
    <n v="21"/>
    <x v="11"/>
    <x v="0"/>
    <n v="13.5"/>
    <b v="1"/>
  </r>
  <r>
    <s v="ORD-00374"/>
    <x v="207"/>
    <s v="11:05"/>
    <x v="0"/>
    <x v="7"/>
    <x v="3"/>
    <n v="1"/>
    <n v="6.95"/>
    <n v="6.95"/>
    <x v="3"/>
    <n v="11"/>
    <x v="18"/>
    <x v="0"/>
    <n v="6.95"/>
    <b v="1"/>
  </r>
  <r>
    <s v="ORD-00375"/>
    <x v="107"/>
    <s v="17:55"/>
    <x v="1"/>
    <x v="9"/>
    <x v="1"/>
    <n v="2"/>
    <n v="3.75"/>
    <n v="7.5"/>
    <x v="0"/>
    <n v="19"/>
    <x v="7"/>
    <x v="0"/>
    <n v="7.5"/>
    <b v="1"/>
  </r>
  <r>
    <s v="ORD-00376"/>
    <x v="149"/>
    <s v="21:05"/>
    <x v="1"/>
    <x v="19"/>
    <x v="2"/>
    <n v="2"/>
    <n v="7.95"/>
    <n v="15.9"/>
    <x v="0"/>
    <n v="29"/>
    <x v="6"/>
    <x v="0"/>
    <n v="15.9"/>
    <b v="1"/>
  </r>
  <r>
    <s v="ORD-00377"/>
    <x v="208"/>
    <s v="21:45"/>
    <x v="1"/>
    <x v="16"/>
    <x v="1"/>
    <n v="1"/>
    <n v="3.25"/>
    <n v="3.25"/>
    <x v="0"/>
    <n v="22"/>
    <x v="16"/>
    <x v="0"/>
    <n v="3.25"/>
    <b v="1"/>
  </r>
  <r>
    <s v="ORD-00378"/>
    <x v="40"/>
    <s v="19:55"/>
    <x v="1"/>
    <x v="0"/>
    <x v="0"/>
    <n v="1"/>
    <n v="9.9499999999999993"/>
    <n v="9.9499999999999993"/>
    <x v="1"/>
    <n v="30"/>
    <x v="18"/>
    <x v="0"/>
    <n v="9.9499999999999993"/>
    <b v="1"/>
  </r>
  <r>
    <s v="ORD-00379"/>
    <x v="100"/>
    <s v="13:20"/>
    <x v="0"/>
    <x v="6"/>
    <x v="2"/>
    <n v="2"/>
    <n v="5.5"/>
    <n v="11"/>
    <x v="1"/>
    <n v="8"/>
    <x v="22"/>
    <x v="0"/>
    <n v="11"/>
    <b v="1"/>
  </r>
  <r>
    <s v="ORD-00380"/>
    <x v="83"/>
    <s v="19:20"/>
    <x v="1"/>
    <x v="12"/>
    <x v="3"/>
    <n v="2"/>
    <n v="7.25"/>
    <n v="14.5"/>
    <x v="0"/>
    <n v="7"/>
    <x v="11"/>
    <x v="0"/>
    <n v="14.5"/>
    <b v="1"/>
  </r>
  <r>
    <s v="ORD-00381"/>
    <x v="38"/>
    <s v="21:25"/>
    <x v="1"/>
    <x v="13"/>
    <x v="0"/>
    <n v="1"/>
    <n v="13.5"/>
    <n v="13.5"/>
    <x v="1"/>
    <n v="13"/>
    <x v="15"/>
    <x v="0"/>
    <n v="13.5"/>
    <b v="1"/>
  </r>
  <r>
    <s v="ORD-00382"/>
    <x v="69"/>
    <s v="17:10"/>
    <x v="1"/>
    <x v="11"/>
    <x v="0"/>
    <n v="2"/>
    <n v="12.5"/>
    <n v="25"/>
    <x v="1"/>
    <n v="27"/>
    <x v="21"/>
    <x v="0"/>
    <n v="25"/>
    <b v="1"/>
  </r>
  <r>
    <s v="ORD-00383"/>
    <x v="1"/>
    <s v="19:55"/>
    <x v="1"/>
    <x v="11"/>
    <x v="0"/>
    <n v="1"/>
    <n v="12.5"/>
    <n v="12.5"/>
    <x v="0"/>
    <n v="4"/>
    <x v="5"/>
    <x v="0"/>
    <n v="12.5"/>
    <b v="1"/>
  </r>
  <r>
    <s v="ORD-00384"/>
    <x v="144"/>
    <s v="15:35"/>
    <x v="0"/>
    <x v="17"/>
    <x v="0"/>
    <n v="3"/>
    <n v="15.95"/>
    <n v="47.85"/>
    <x v="0"/>
    <n v="19"/>
    <x v="7"/>
    <x v="0"/>
    <n v="47.849999999999994"/>
    <b v="1"/>
  </r>
  <r>
    <s v="ORD-00385"/>
    <x v="94"/>
    <s v="13:55"/>
    <x v="0"/>
    <x v="5"/>
    <x v="0"/>
    <n v="1"/>
    <n v="12.95"/>
    <n v="12.95"/>
    <x v="3"/>
    <n v="25"/>
    <x v="12"/>
    <x v="0"/>
    <n v="12.95"/>
    <b v="1"/>
  </r>
  <r>
    <s v="ORD-00386"/>
    <x v="101"/>
    <s v="22:15"/>
    <x v="1"/>
    <x v="6"/>
    <x v="2"/>
    <n v="2"/>
    <n v="5.5"/>
    <n v="11"/>
    <x v="3"/>
    <n v="1"/>
    <x v="21"/>
    <x v="0"/>
    <n v="11"/>
    <b v="1"/>
  </r>
  <r>
    <s v="ORD-00387"/>
    <x v="36"/>
    <s v="18:50"/>
    <x v="1"/>
    <x v="17"/>
    <x v="0"/>
    <n v="2"/>
    <n v="15.95"/>
    <n v="31.9"/>
    <x v="0"/>
    <n v="10"/>
    <x v="13"/>
    <x v="0"/>
    <n v="31.9"/>
    <b v="1"/>
  </r>
  <r>
    <s v="ORD-00388"/>
    <x v="116"/>
    <s v="20:25"/>
    <x v="1"/>
    <x v="15"/>
    <x v="3"/>
    <n v="1"/>
    <n v="5.75"/>
    <n v="5.75"/>
    <x v="0"/>
    <n v="10"/>
    <x v="15"/>
    <x v="0"/>
    <n v="5.75"/>
    <b v="1"/>
  </r>
  <r>
    <s v="ORD-00389"/>
    <x v="209"/>
    <s v="17:40"/>
    <x v="1"/>
    <x v="3"/>
    <x v="2"/>
    <n v="1"/>
    <n v="8.5"/>
    <n v="8.5"/>
    <x v="0"/>
    <n v="4"/>
    <x v="10"/>
    <x v="0"/>
    <n v="8.5"/>
    <b v="1"/>
  </r>
  <r>
    <s v="ORD-00390"/>
    <x v="3"/>
    <s v="22:25"/>
    <x v="1"/>
    <x v="6"/>
    <x v="2"/>
    <n v="1"/>
    <n v="5.5"/>
    <n v="5.5"/>
    <x v="0"/>
    <n v="29"/>
    <x v="10"/>
    <x v="0"/>
    <n v="5.5"/>
    <b v="1"/>
  </r>
  <r>
    <s v="ORD-00391"/>
    <x v="88"/>
    <s v="12:00"/>
    <x v="0"/>
    <x v="9"/>
    <x v="1"/>
    <n v="1"/>
    <n v="3.75"/>
    <n v="3.75"/>
    <x v="0"/>
    <n v="21"/>
    <x v="3"/>
    <x v="0"/>
    <n v="3.75"/>
    <b v="1"/>
  </r>
  <r>
    <s v="ORD-00392"/>
    <x v="97"/>
    <s v="14:30"/>
    <x v="0"/>
    <x v="7"/>
    <x v="3"/>
    <n v="2"/>
    <n v="6.95"/>
    <n v="13.9"/>
    <x v="3"/>
    <n v="23"/>
    <x v="4"/>
    <x v="0"/>
    <n v="13.9"/>
    <b v="1"/>
  </r>
  <r>
    <s v="ORD-00393"/>
    <x v="21"/>
    <s v="12:50"/>
    <x v="0"/>
    <x v="4"/>
    <x v="1"/>
    <n v="2"/>
    <n v="2.8"/>
    <n v="5.6"/>
    <x v="1"/>
    <n v="17"/>
    <x v="10"/>
    <x v="0"/>
    <n v="5.6"/>
    <b v="1"/>
  </r>
  <r>
    <s v="ORD-00394"/>
    <x v="93"/>
    <s v="21:10"/>
    <x v="1"/>
    <x v="19"/>
    <x v="2"/>
    <n v="1"/>
    <n v="7.95"/>
    <n v="7.95"/>
    <x v="1"/>
    <n v="24"/>
    <x v="7"/>
    <x v="0"/>
    <n v="7.95"/>
    <b v="1"/>
  </r>
  <r>
    <s v="ORD-00395"/>
    <x v="132"/>
    <s v="19:50"/>
    <x v="1"/>
    <x v="5"/>
    <x v="0"/>
    <n v="1"/>
    <n v="12.95"/>
    <n v="12.95"/>
    <x v="3"/>
    <n v="26"/>
    <x v="19"/>
    <x v="0"/>
    <n v="12.95"/>
    <b v="1"/>
  </r>
  <r>
    <s v="ORD-00396"/>
    <x v="100"/>
    <s v="13:35"/>
    <x v="0"/>
    <x v="10"/>
    <x v="0"/>
    <n v="1"/>
    <n v="11.95"/>
    <n v="11.95"/>
    <x v="0"/>
    <n v="19"/>
    <x v="0"/>
    <x v="0"/>
    <n v="11.95"/>
    <b v="1"/>
  </r>
  <r>
    <s v="ORD-00397"/>
    <x v="19"/>
    <s v="18:40"/>
    <x v="1"/>
    <x v="10"/>
    <x v="0"/>
    <n v="2"/>
    <n v="11.95"/>
    <n v="23.9"/>
    <x v="3"/>
    <n v="28"/>
    <x v="14"/>
    <x v="0"/>
    <n v="23.9"/>
    <b v="1"/>
  </r>
  <r>
    <s v="ORD-00398"/>
    <x v="96"/>
    <s v="19:30"/>
    <x v="1"/>
    <x v="18"/>
    <x v="1"/>
    <n v="3"/>
    <n v="6.5"/>
    <n v="19.5"/>
    <x v="1"/>
    <n v="5"/>
    <x v="5"/>
    <x v="0"/>
    <n v="19.5"/>
    <b v="1"/>
  </r>
  <r>
    <s v="ORD-00399"/>
    <x v="176"/>
    <s v="20:25"/>
    <x v="1"/>
    <x v="17"/>
    <x v="0"/>
    <n v="1"/>
    <n v="15.95"/>
    <n v="15.95"/>
    <x v="2"/>
    <n v="25"/>
    <x v="18"/>
    <x v="0"/>
    <n v="15.95"/>
    <b v="1"/>
  </r>
  <r>
    <s v="ORD-00400"/>
    <x v="117"/>
    <s v="17:10"/>
    <x v="1"/>
    <x v="9"/>
    <x v="1"/>
    <n v="1"/>
    <n v="3.75"/>
    <n v="3.75"/>
    <x v="0"/>
    <n v="13"/>
    <x v="14"/>
    <x v="0"/>
    <n v="3.75"/>
    <b v="1"/>
  </r>
  <r>
    <s v="ORD-00401"/>
    <x v="147"/>
    <s v="17:40"/>
    <x v="1"/>
    <x v="11"/>
    <x v="0"/>
    <n v="2"/>
    <n v="12.5"/>
    <n v="25"/>
    <x v="1"/>
    <n v="17"/>
    <x v="12"/>
    <x v="0"/>
    <n v="25"/>
    <b v="1"/>
  </r>
  <r>
    <s v="ORD-00402"/>
    <x v="210"/>
    <s v="18:15"/>
    <x v="1"/>
    <x v="3"/>
    <x v="2"/>
    <n v="1"/>
    <n v="8.5"/>
    <n v="8.5"/>
    <x v="0"/>
    <n v="13"/>
    <x v="14"/>
    <x v="0"/>
    <n v="8.5"/>
    <b v="1"/>
  </r>
  <r>
    <s v="ORD-00403"/>
    <x v="211"/>
    <s v="11:20"/>
    <x v="0"/>
    <x v="19"/>
    <x v="2"/>
    <n v="1"/>
    <n v="7.95"/>
    <n v="7.95"/>
    <x v="0"/>
    <n v="29"/>
    <x v="5"/>
    <x v="0"/>
    <n v="7.95"/>
    <b v="1"/>
  </r>
  <r>
    <s v="ORD-00404"/>
    <x v="160"/>
    <s v="14:25"/>
    <x v="0"/>
    <x v="11"/>
    <x v="0"/>
    <n v="1"/>
    <n v="12.5"/>
    <n v="12.5"/>
    <x v="1"/>
    <n v="1"/>
    <x v="9"/>
    <x v="0"/>
    <n v="12.5"/>
    <b v="1"/>
  </r>
  <r>
    <s v="ORD-00405"/>
    <x v="31"/>
    <s v="11:45"/>
    <x v="0"/>
    <x v="1"/>
    <x v="1"/>
    <n v="1"/>
    <n v="3.1"/>
    <n v="3.1"/>
    <x v="3"/>
    <n v="13"/>
    <x v="16"/>
    <x v="0"/>
    <n v="3.1"/>
    <b v="1"/>
  </r>
  <r>
    <s v="ORD-00406"/>
    <x v="212"/>
    <s v="21:00"/>
    <x v="1"/>
    <x v="9"/>
    <x v="1"/>
    <n v="4"/>
    <n v="3.75"/>
    <n v="15"/>
    <x v="0"/>
    <n v="4"/>
    <x v="1"/>
    <x v="0"/>
    <n v="15"/>
    <b v="1"/>
  </r>
  <r>
    <s v="ORD-00407"/>
    <x v="54"/>
    <s v="11:30"/>
    <x v="0"/>
    <x v="15"/>
    <x v="3"/>
    <n v="1"/>
    <n v="5.75"/>
    <n v="5.75"/>
    <x v="0"/>
    <n v="7"/>
    <x v="7"/>
    <x v="0"/>
    <n v="5.75"/>
    <b v="1"/>
  </r>
  <r>
    <s v="ORD-00408"/>
    <x v="36"/>
    <s v="11:50"/>
    <x v="0"/>
    <x v="1"/>
    <x v="1"/>
    <n v="1"/>
    <n v="3.1"/>
    <n v="3.1"/>
    <x v="1"/>
    <n v="23"/>
    <x v="20"/>
    <x v="0"/>
    <n v="3.1"/>
    <b v="1"/>
  </r>
  <r>
    <s v="ORD-00409"/>
    <x v="213"/>
    <s v="21:05"/>
    <x v="1"/>
    <x v="19"/>
    <x v="2"/>
    <n v="1"/>
    <n v="7.95"/>
    <n v="7.95"/>
    <x v="1"/>
    <n v="25"/>
    <x v="5"/>
    <x v="0"/>
    <n v="7.95"/>
    <b v="1"/>
  </r>
  <r>
    <s v="ORD-00410"/>
    <x v="29"/>
    <s v="19:55"/>
    <x v="1"/>
    <x v="12"/>
    <x v="3"/>
    <n v="1"/>
    <n v="7.25"/>
    <n v="7.25"/>
    <x v="0"/>
    <n v="18"/>
    <x v="17"/>
    <x v="0"/>
    <n v="7.25"/>
    <b v="1"/>
  </r>
  <r>
    <s v="ORD-00411"/>
    <x v="104"/>
    <s v="20:25"/>
    <x v="1"/>
    <x v="0"/>
    <x v="0"/>
    <n v="1"/>
    <n v="9.9499999999999993"/>
    <n v="9.9499999999999993"/>
    <x v="0"/>
    <n v="19"/>
    <x v="6"/>
    <x v="0"/>
    <n v="9.9499999999999993"/>
    <b v="1"/>
  </r>
  <r>
    <s v="ORD-00412"/>
    <x v="119"/>
    <s v="21:05"/>
    <x v="1"/>
    <x v="10"/>
    <x v="0"/>
    <n v="3"/>
    <n v="11.95"/>
    <n v="35.85"/>
    <x v="0"/>
    <n v="8"/>
    <x v="13"/>
    <x v="0"/>
    <n v="35.849999999999994"/>
    <b v="1"/>
  </r>
  <r>
    <s v="ORD-00413"/>
    <x v="97"/>
    <s v="11:05"/>
    <x v="0"/>
    <x v="17"/>
    <x v="0"/>
    <n v="2"/>
    <n v="15.95"/>
    <n v="31.9"/>
    <x v="0"/>
    <n v="14"/>
    <x v="0"/>
    <x v="0"/>
    <n v="31.9"/>
    <b v="1"/>
  </r>
  <r>
    <s v="ORD-00414"/>
    <x v="154"/>
    <s v="17:00"/>
    <x v="1"/>
    <x v="8"/>
    <x v="0"/>
    <n v="2"/>
    <n v="14.5"/>
    <n v="29"/>
    <x v="0"/>
    <n v="11"/>
    <x v="23"/>
    <x v="0"/>
    <n v="29"/>
    <b v="1"/>
  </r>
  <r>
    <s v="ORD-00415"/>
    <x v="18"/>
    <s v="19:55"/>
    <x v="1"/>
    <x v="5"/>
    <x v="0"/>
    <n v="1"/>
    <n v="12.95"/>
    <n v="12.95"/>
    <x v="1"/>
    <n v="15"/>
    <x v="6"/>
    <x v="0"/>
    <n v="12.95"/>
    <b v="1"/>
  </r>
  <r>
    <s v="ORD-00416"/>
    <x v="202"/>
    <s v="20:30"/>
    <x v="1"/>
    <x v="17"/>
    <x v="0"/>
    <n v="1"/>
    <n v="15.95"/>
    <n v="15.95"/>
    <x v="1"/>
    <n v="24"/>
    <x v="27"/>
    <x v="0"/>
    <n v="15.95"/>
    <b v="1"/>
  </r>
  <r>
    <s v="ORD-00417"/>
    <x v="117"/>
    <s v="15:35"/>
    <x v="0"/>
    <x v="18"/>
    <x v="1"/>
    <n v="2"/>
    <n v="6.5"/>
    <n v="13"/>
    <x v="1"/>
    <n v="20"/>
    <x v="1"/>
    <x v="0"/>
    <n v="13"/>
    <b v="1"/>
  </r>
  <r>
    <s v="ORD-00418"/>
    <x v="214"/>
    <s v="20:05"/>
    <x v="1"/>
    <x v="12"/>
    <x v="3"/>
    <n v="1"/>
    <n v="7.25"/>
    <n v="7.25"/>
    <x v="0"/>
    <n v="9"/>
    <x v="14"/>
    <x v="0"/>
    <n v="7.25"/>
    <b v="1"/>
  </r>
  <r>
    <s v="ORD-00419"/>
    <x v="192"/>
    <s v="22:40"/>
    <x v="1"/>
    <x v="18"/>
    <x v="1"/>
    <n v="2"/>
    <n v="6.5"/>
    <n v="13"/>
    <x v="0"/>
    <n v="11"/>
    <x v="13"/>
    <x v="0"/>
    <n v="13"/>
    <b v="1"/>
  </r>
  <r>
    <s v="ORD-00420"/>
    <x v="154"/>
    <s v="22:15"/>
    <x v="1"/>
    <x v="16"/>
    <x v="1"/>
    <n v="1"/>
    <n v="3.25"/>
    <n v="3.25"/>
    <x v="0"/>
    <n v="21"/>
    <x v="5"/>
    <x v="0"/>
    <n v="3.25"/>
    <b v="1"/>
  </r>
  <r>
    <s v="ORD-00421"/>
    <x v="186"/>
    <s v="12:40"/>
    <x v="0"/>
    <x v="16"/>
    <x v="1"/>
    <n v="2"/>
    <n v="3.25"/>
    <n v="6.5"/>
    <x v="1"/>
    <n v="8"/>
    <x v="7"/>
    <x v="0"/>
    <n v="6.5"/>
    <b v="1"/>
  </r>
  <r>
    <s v="ORD-00422"/>
    <x v="20"/>
    <s v="12:40"/>
    <x v="0"/>
    <x v="7"/>
    <x v="3"/>
    <n v="1"/>
    <n v="6.95"/>
    <n v="6.95"/>
    <x v="0"/>
    <n v="3"/>
    <x v="19"/>
    <x v="0"/>
    <n v="6.95"/>
    <b v="1"/>
  </r>
  <r>
    <s v="ORD-00423"/>
    <x v="123"/>
    <s v="14:35"/>
    <x v="0"/>
    <x v="14"/>
    <x v="2"/>
    <n v="1"/>
    <n v="6.25"/>
    <n v="6.25"/>
    <x v="0"/>
    <n v="13"/>
    <x v="7"/>
    <x v="0"/>
    <n v="6.25"/>
    <b v="1"/>
  </r>
  <r>
    <s v="ORD-00424"/>
    <x v="15"/>
    <s v="21:45"/>
    <x v="1"/>
    <x v="19"/>
    <x v="2"/>
    <n v="3"/>
    <n v="7.95"/>
    <n v="23.85"/>
    <x v="0"/>
    <n v="7"/>
    <x v="20"/>
    <x v="0"/>
    <n v="23.85"/>
    <b v="1"/>
  </r>
  <r>
    <s v="ORD-00425"/>
    <x v="195"/>
    <s v="19:00"/>
    <x v="1"/>
    <x v="0"/>
    <x v="0"/>
    <n v="2"/>
    <n v="9.9499999999999993"/>
    <n v="19.899999999999999"/>
    <x v="0"/>
    <n v="16"/>
    <x v="9"/>
    <x v="0"/>
    <n v="19.899999999999999"/>
    <b v="1"/>
  </r>
  <r>
    <s v="ORD-00426"/>
    <x v="6"/>
    <s v="17:05"/>
    <x v="1"/>
    <x v="0"/>
    <x v="0"/>
    <n v="1"/>
    <n v="9.9499999999999993"/>
    <n v="9.9499999999999993"/>
    <x v="0"/>
    <n v="27"/>
    <x v="10"/>
    <x v="0"/>
    <n v="9.9499999999999993"/>
    <b v="1"/>
  </r>
  <r>
    <s v="ORD-00427"/>
    <x v="215"/>
    <s v="19:55"/>
    <x v="1"/>
    <x v="10"/>
    <x v="0"/>
    <n v="1"/>
    <n v="11.95"/>
    <n v="11.95"/>
    <x v="0"/>
    <n v="24"/>
    <x v="24"/>
    <x v="0"/>
    <n v="11.95"/>
    <b v="1"/>
  </r>
  <r>
    <s v="ORD-00428"/>
    <x v="14"/>
    <s v="12:15"/>
    <x v="0"/>
    <x v="10"/>
    <x v="0"/>
    <n v="3"/>
    <n v="11.95"/>
    <n v="35.85"/>
    <x v="0"/>
    <n v="7"/>
    <x v="10"/>
    <x v="0"/>
    <n v="35.849999999999994"/>
    <b v="1"/>
  </r>
  <r>
    <s v="ORD-00429"/>
    <x v="21"/>
    <s v="17:30"/>
    <x v="1"/>
    <x v="13"/>
    <x v="0"/>
    <n v="3"/>
    <n v="13.5"/>
    <n v="40.5"/>
    <x v="0"/>
    <n v="15"/>
    <x v="5"/>
    <x v="0"/>
    <n v="40.5"/>
    <b v="1"/>
  </r>
  <r>
    <s v="ORD-00430"/>
    <x v="50"/>
    <s v="14:00"/>
    <x v="0"/>
    <x v="1"/>
    <x v="1"/>
    <n v="2"/>
    <n v="3.1"/>
    <n v="6.2"/>
    <x v="0"/>
    <n v="30"/>
    <x v="30"/>
    <x v="0"/>
    <n v="6.2"/>
    <b v="1"/>
  </r>
  <r>
    <s v="ORD-00431"/>
    <x v="169"/>
    <s v="18:55"/>
    <x v="1"/>
    <x v="18"/>
    <x v="1"/>
    <n v="1"/>
    <n v="6.5"/>
    <n v="6.5"/>
    <x v="3"/>
    <n v="20"/>
    <x v="19"/>
    <x v="0"/>
    <n v="6.5"/>
    <b v="1"/>
  </r>
  <r>
    <s v="ORD-00432"/>
    <x v="50"/>
    <s v="20:45"/>
    <x v="1"/>
    <x v="0"/>
    <x v="0"/>
    <n v="1"/>
    <n v="9.9499999999999993"/>
    <n v="9.9499999999999993"/>
    <x v="0"/>
    <n v="10"/>
    <x v="27"/>
    <x v="0"/>
    <n v="9.9499999999999993"/>
    <b v="1"/>
  </r>
  <r>
    <s v="ORD-00433"/>
    <x v="160"/>
    <s v="15:55"/>
    <x v="0"/>
    <x v="1"/>
    <x v="1"/>
    <n v="1"/>
    <n v="3.1"/>
    <n v="3.1"/>
    <x v="3"/>
    <n v="24"/>
    <x v="3"/>
    <x v="0"/>
    <n v="3.1"/>
    <b v="1"/>
  </r>
  <r>
    <s v="ORD-00434"/>
    <x v="166"/>
    <s v="15:55"/>
    <x v="0"/>
    <x v="19"/>
    <x v="2"/>
    <n v="2"/>
    <n v="7.95"/>
    <n v="15.9"/>
    <x v="3"/>
    <n v="5"/>
    <x v="2"/>
    <x v="0"/>
    <n v="15.9"/>
    <b v="1"/>
  </r>
  <r>
    <s v="ORD-00435"/>
    <x v="196"/>
    <s v="22:50"/>
    <x v="1"/>
    <x v="14"/>
    <x v="2"/>
    <n v="2"/>
    <n v="6.25"/>
    <n v="-12.5"/>
    <x v="3"/>
    <n v="19"/>
    <x v="7"/>
    <x v="1"/>
    <n v="12.5"/>
    <b v="1"/>
  </r>
  <r>
    <s v="ORD-00436"/>
    <x v="73"/>
    <s v="21:20"/>
    <x v="1"/>
    <x v="12"/>
    <x v="3"/>
    <n v="2"/>
    <n v="7.25"/>
    <n v="14.5"/>
    <x v="1"/>
    <n v="4"/>
    <x v="27"/>
    <x v="0"/>
    <n v="14.5"/>
    <b v="1"/>
  </r>
  <r>
    <s v="ORD-00437"/>
    <x v="167"/>
    <s v="11:15"/>
    <x v="0"/>
    <x v="6"/>
    <x v="2"/>
    <n v="2"/>
    <n v="5.5"/>
    <n v="11"/>
    <x v="2"/>
    <n v="5"/>
    <x v="27"/>
    <x v="0"/>
    <n v="11"/>
    <b v="1"/>
  </r>
  <r>
    <s v="ORD-00438"/>
    <x v="97"/>
    <s v="15:00"/>
    <x v="0"/>
    <x v="3"/>
    <x v="2"/>
    <n v="2"/>
    <n v="8.5"/>
    <n v="17"/>
    <x v="3"/>
    <n v="20"/>
    <x v="7"/>
    <x v="0"/>
    <n v="17"/>
    <b v="1"/>
  </r>
  <r>
    <s v="ORD-00439"/>
    <x v="216"/>
    <s v="21:30"/>
    <x v="1"/>
    <x v="0"/>
    <x v="0"/>
    <n v="1"/>
    <n v="9.9499999999999993"/>
    <n v="9.9499999999999993"/>
    <x v="0"/>
    <n v="30"/>
    <x v="8"/>
    <x v="0"/>
    <n v="9.9499999999999993"/>
    <b v="1"/>
  </r>
  <r>
    <s v="ORD-00440"/>
    <x v="73"/>
    <s v="22:25"/>
    <x v="1"/>
    <x v="4"/>
    <x v="1"/>
    <n v="1"/>
    <n v="2.8"/>
    <n v="0"/>
    <x v="1"/>
    <n v="9"/>
    <x v="13"/>
    <x v="2"/>
    <n v="2.8"/>
    <b v="1"/>
  </r>
  <r>
    <s v="ORD-00441"/>
    <x v="83"/>
    <s v="22:55"/>
    <x v="1"/>
    <x v="3"/>
    <x v="2"/>
    <n v="2"/>
    <n v="8.5"/>
    <n v="17"/>
    <x v="3"/>
    <n v="24"/>
    <x v="19"/>
    <x v="0"/>
    <n v="17"/>
    <b v="1"/>
  </r>
  <r>
    <s v="ORD-00442"/>
    <x v="92"/>
    <s v="22:05"/>
    <x v="1"/>
    <x v="17"/>
    <x v="0"/>
    <n v="3"/>
    <n v="15.95"/>
    <n v="0"/>
    <x v="1"/>
    <n v="17"/>
    <x v="10"/>
    <x v="2"/>
    <n v="47.849999999999994"/>
    <b v="1"/>
  </r>
  <r>
    <s v="ORD-00443"/>
    <x v="37"/>
    <s v="21:20"/>
    <x v="1"/>
    <x v="8"/>
    <x v="0"/>
    <n v="1"/>
    <n v="14.5"/>
    <n v="14.5"/>
    <x v="1"/>
    <n v="30"/>
    <x v="23"/>
    <x v="0"/>
    <n v="14.5"/>
    <b v="1"/>
  </r>
  <r>
    <s v="ORD-00444"/>
    <x v="11"/>
    <s v="21:00"/>
    <x v="1"/>
    <x v="9"/>
    <x v="1"/>
    <n v="2"/>
    <n v="3.75"/>
    <n v="7.5"/>
    <x v="2"/>
    <n v="16"/>
    <x v="14"/>
    <x v="0"/>
    <n v="7.5"/>
    <b v="1"/>
  </r>
  <r>
    <s v="ORD-00445"/>
    <x v="103"/>
    <s v="13:40"/>
    <x v="0"/>
    <x v="0"/>
    <x v="0"/>
    <n v="3"/>
    <n v="9.9499999999999993"/>
    <n v="29.85"/>
    <x v="0"/>
    <n v="14"/>
    <x v="6"/>
    <x v="0"/>
    <n v="29.849999999999998"/>
    <b v="1"/>
  </r>
  <r>
    <s v="ORD-00446"/>
    <x v="82"/>
    <s v="12:15"/>
    <x v="0"/>
    <x v="14"/>
    <x v="2"/>
    <n v="1"/>
    <n v="6.25"/>
    <n v="6.25"/>
    <x v="3"/>
    <n v="7"/>
    <x v="20"/>
    <x v="0"/>
    <n v="6.25"/>
    <b v="1"/>
  </r>
  <r>
    <s v="ORD-00447"/>
    <x v="98"/>
    <s v="21:50"/>
    <x v="1"/>
    <x v="2"/>
    <x v="0"/>
    <n v="1"/>
    <n v="11.5"/>
    <n v="11.5"/>
    <x v="3"/>
    <n v="20"/>
    <x v="4"/>
    <x v="0"/>
    <n v="11.5"/>
    <b v="1"/>
  </r>
  <r>
    <s v="ORD-00448"/>
    <x v="164"/>
    <s v="22:25"/>
    <x v="1"/>
    <x v="7"/>
    <x v="3"/>
    <n v="3"/>
    <n v="6.95"/>
    <n v="20.85"/>
    <x v="1"/>
    <n v="13"/>
    <x v="18"/>
    <x v="0"/>
    <n v="20.85"/>
    <b v="1"/>
  </r>
  <r>
    <s v="ORD-00449"/>
    <x v="124"/>
    <s v="15:25"/>
    <x v="0"/>
    <x v="1"/>
    <x v="1"/>
    <n v="2"/>
    <n v="3.1"/>
    <n v="6.2"/>
    <x v="1"/>
    <n v="21"/>
    <x v="30"/>
    <x v="0"/>
    <n v="6.2"/>
    <b v="1"/>
  </r>
  <r>
    <s v="ORD-00450"/>
    <x v="217"/>
    <s v="11:10"/>
    <x v="0"/>
    <x v="4"/>
    <x v="1"/>
    <n v="1"/>
    <n v="2.8"/>
    <n v="2.8"/>
    <x v="1"/>
    <n v="3"/>
    <x v="22"/>
    <x v="0"/>
    <n v="2.8"/>
    <b v="1"/>
  </r>
  <r>
    <s v="ORD-00451"/>
    <x v="218"/>
    <s v="20:05"/>
    <x v="1"/>
    <x v="11"/>
    <x v="0"/>
    <n v="1"/>
    <n v="12.5"/>
    <n v="12.5"/>
    <x v="0"/>
    <n v="14"/>
    <x v="12"/>
    <x v="0"/>
    <n v="12.5"/>
    <b v="1"/>
  </r>
  <r>
    <s v="ORD-00452"/>
    <x v="19"/>
    <s v="18:00"/>
    <x v="1"/>
    <x v="15"/>
    <x v="3"/>
    <n v="2"/>
    <n v="5.75"/>
    <n v="11.5"/>
    <x v="1"/>
    <n v="3"/>
    <x v="14"/>
    <x v="0"/>
    <n v="11.5"/>
    <b v="1"/>
  </r>
  <r>
    <s v="ORD-00453"/>
    <x v="196"/>
    <s v="21:05"/>
    <x v="1"/>
    <x v="18"/>
    <x v="1"/>
    <n v="2"/>
    <n v="6.5"/>
    <n v="13"/>
    <x v="0"/>
    <n v="13"/>
    <x v="4"/>
    <x v="0"/>
    <n v="13"/>
    <b v="1"/>
  </r>
  <r>
    <s v="ORD-00454"/>
    <x v="131"/>
    <s v="17:40"/>
    <x v="1"/>
    <x v="2"/>
    <x v="0"/>
    <n v="2"/>
    <n v="11.5"/>
    <n v="23"/>
    <x v="2"/>
    <n v="3"/>
    <x v="21"/>
    <x v="0"/>
    <n v="23"/>
    <b v="1"/>
  </r>
  <r>
    <s v="ORD-00455"/>
    <x v="197"/>
    <s v="17:25"/>
    <x v="1"/>
    <x v="1"/>
    <x v="1"/>
    <n v="1"/>
    <n v="3.1"/>
    <n v="3.1"/>
    <x v="3"/>
    <n v="25"/>
    <x v="9"/>
    <x v="0"/>
    <n v="3.1"/>
    <b v="1"/>
  </r>
  <r>
    <s v="ORD-00456"/>
    <x v="219"/>
    <s v="22:00"/>
    <x v="1"/>
    <x v="16"/>
    <x v="1"/>
    <n v="1"/>
    <n v="3.25"/>
    <n v="3.25"/>
    <x v="0"/>
    <n v="5"/>
    <x v="7"/>
    <x v="0"/>
    <n v="3.25"/>
    <b v="1"/>
  </r>
  <r>
    <s v="ORD-00457"/>
    <x v="97"/>
    <s v="18:20"/>
    <x v="1"/>
    <x v="3"/>
    <x v="2"/>
    <n v="3"/>
    <n v="8.5"/>
    <n v="25.5"/>
    <x v="1"/>
    <n v="4"/>
    <x v="9"/>
    <x v="0"/>
    <n v="25.5"/>
    <b v="1"/>
  </r>
  <r>
    <s v="ORD-00458"/>
    <x v="200"/>
    <s v="17:20"/>
    <x v="1"/>
    <x v="11"/>
    <x v="0"/>
    <n v="2"/>
    <n v="12.5"/>
    <n v="25"/>
    <x v="1"/>
    <n v="12"/>
    <x v="8"/>
    <x v="0"/>
    <n v="25"/>
    <b v="1"/>
  </r>
  <r>
    <s v="ORD-00459"/>
    <x v="106"/>
    <s v="12:15"/>
    <x v="0"/>
    <x v="9"/>
    <x v="1"/>
    <n v="2"/>
    <n v="3.75"/>
    <n v="7.5"/>
    <x v="3"/>
    <n v="19"/>
    <x v="7"/>
    <x v="0"/>
    <n v="7.5"/>
    <b v="1"/>
  </r>
  <r>
    <s v="ORD-00460"/>
    <x v="85"/>
    <s v="17:20"/>
    <x v="1"/>
    <x v="5"/>
    <x v="0"/>
    <n v="1"/>
    <n v="12.95"/>
    <n v="12.95"/>
    <x v="0"/>
    <n v="24"/>
    <x v="27"/>
    <x v="0"/>
    <n v="12.95"/>
    <b v="1"/>
  </r>
  <r>
    <s v="ORD-00461"/>
    <x v="153"/>
    <s v="12:05"/>
    <x v="0"/>
    <x v="19"/>
    <x v="2"/>
    <n v="2"/>
    <n v="7.95"/>
    <n v="15.9"/>
    <x v="0"/>
    <n v="20"/>
    <x v="14"/>
    <x v="0"/>
    <n v="15.9"/>
    <b v="1"/>
  </r>
  <r>
    <s v="ORD-00462"/>
    <x v="11"/>
    <s v="19:25"/>
    <x v="1"/>
    <x v="12"/>
    <x v="3"/>
    <n v="1"/>
    <n v="7.25"/>
    <n v="7.25"/>
    <x v="2"/>
    <n v="8"/>
    <x v="27"/>
    <x v="0"/>
    <n v="7.25"/>
    <b v="1"/>
  </r>
  <r>
    <s v="ORD-00463"/>
    <x v="42"/>
    <s v="13:10"/>
    <x v="0"/>
    <x v="14"/>
    <x v="2"/>
    <n v="2"/>
    <n v="6.25"/>
    <n v="12.5"/>
    <x v="0"/>
    <n v="16"/>
    <x v="16"/>
    <x v="0"/>
    <n v="12.5"/>
    <b v="1"/>
  </r>
  <r>
    <s v="ORD-00464"/>
    <x v="137"/>
    <s v="17:20"/>
    <x v="1"/>
    <x v="8"/>
    <x v="0"/>
    <n v="3"/>
    <n v="14.5"/>
    <n v="43.5"/>
    <x v="0"/>
    <n v="9"/>
    <x v="21"/>
    <x v="0"/>
    <n v="43.5"/>
    <b v="1"/>
  </r>
  <r>
    <s v="ORD-00465"/>
    <x v="220"/>
    <s v="17:40"/>
    <x v="1"/>
    <x v="2"/>
    <x v="0"/>
    <n v="2"/>
    <n v="11.5"/>
    <n v="23"/>
    <x v="1"/>
    <n v="30"/>
    <x v="14"/>
    <x v="0"/>
    <n v="23"/>
    <b v="1"/>
  </r>
  <r>
    <s v="ORD-00466"/>
    <x v="221"/>
    <s v="21:35"/>
    <x v="1"/>
    <x v="8"/>
    <x v="0"/>
    <n v="1"/>
    <n v="14.5"/>
    <n v="14.5"/>
    <x v="2"/>
    <n v="29"/>
    <x v="18"/>
    <x v="0"/>
    <n v="14.5"/>
    <b v="1"/>
  </r>
  <r>
    <s v="ORD-00467"/>
    <x v="222"/>
    <s v="15:40"/>
    <x v="0"/>
    <x v="5"/>
    <x v="0"/>
    <n v="1"/>
    <n v="12.95"/>
    <n v="12.95"/>
    <x v="3"/>
    <n v="26"/>
    <x v="17"/>
    <x v="0"/>
    <n v="12.95"/>
    <b v="1"/>
  </r>
  <r>
    <s v="ORD-00468"/>
    <x v="122"/>
    <s v="18:35"/>
    <x v="1"/>
    <x v="17"/>
    <x v="0"/>
    <n v="1"/>
    <n v="15.95"/>
    <n v="15.95"/>
    <x v="3"/>
    <n v="22"/>
    <x v="17"/>
    <x v="0"/>
    <n v="15.95"/>
    <b v="1"/>
  </r>
  <r>
    <s v="ORD-00469"/>
    <x v="167"/>
    <s v="20:25"/>
    <x v="1"/>
    <x v="13"/>
    <x v="0"/>
    <n v="1"/>
    <n v="13.5"/>
    <n v="13.5"/>
    <x v="1"/>
    <n v="8"/>
    <x v="17"/>
    <x v="0"/>
    <n v="13.5"/>
    <b v="1"/>
  </r>
  <r>
    <s v="ORD-00470"/>
    <x v="203"/>
    <s v="19:30"/>
    <x v="1"/>
    <x v="16"/>
    <x v="1"/>
    <n v="3"/>
    <n v="3.25"/>
    <n v="9.75"/>
    <x v="3"/>
    <n v="2"/>
    <x v="8"/>
    <x v="0"/>
    <n v="9.75"/>
    <b v="1"/>
  </r>
  <r>
    <s v="ORD-00471"/>
    <x v="105"/>
    <s v="15:50"/>
    <x v="0"/>
    <x v="6"/>
    <x v="2"/>
    <n v="2"/>
    <n v="5.5"/>
    <n v="11"/>
    <x v="0"/>
    <n v="13"/>
    <x v="22"/>
    <x v="0"/>
    <n v="11"/>
    <b v="1"/>
  </r>
  <r>
    <s v="ORD-00472"/>
    <x v="99"/>
    <s v="17:40"/>
    <x v="1"/>
    <x v="6"/>
    <x v="2"/>
    <n v="1"/>
    <n v="5.5"/>
    <n v="5.5"/>
    <x v="0"/>
    <n v="17"/>
    <x v="10"/>
    <x v="0"/>
    <n v="5.5"/>
    <b v="1"/>
  </r>
  <r>
    <s v="ORD-00473"/>
    <x v="94"/>
    <s v="20:45"/>
    <x v="1"/>
    <x v="2"/>
    <x v="0"/>
    <n v="1"/>
    <n v="11.5"/>
    <n v="11.5"/>
    <x v="0"/>
    <n v="17"/>
    <x v="7"/>
    <x v="0"/>
    <n v="11.5"/>
    <b v="1"/>
  </r>
  <r>
    <s v="ORD-00474"/>
    <x v="223"/>
    <s v="12:25"/>
    <x v="0"/>
    <x v="9"/>
    <x v="1"/>
    <n v="2"/>
    <n v="3.75"/>
    <n v="7.5"/>
    <x v="1"/>
    <n v="22"/>
    <x v="0"/>
    <x v="0"/>
    <n v="7.5"/>
    <b v="1"/>
  </r>
  <r>
    <s v="ORD-00475"/>
    <x v="153"/>
    <s v="20:50"/>
    <x v="1"/>
    <x v="16"/>
    <x v="1"/>
    <n v="1"/>
    <n v="3.25"/>
    <n v="3.25"/>
    <x v="1"/>
    <n v="1"/>
    <x v="19"/>
    <x v="0"/>
    <n v="3.25"/>
    <b v="1"/>
  </r>
  <r>
    <s v="ORD-00476"/>
    <x v="44"/>
    <s v="18:10"/>
    <x v="1"/>
    <x v="1"/>
    <x v="1"/>
    <n v="1"/>
    <n v="3.1"/>
    <n v="3.1"/>
    <x v="1"/>
    <n v="5"/>
    <x v="6"/>
    <x v="0"/>
    <n v="3.1"/>
    <b v="1"/>
  </r>
  <r>
    <s v="ORD-00477"/>
    <x v="207"/>
    <s v="21:30"/>
    <x v="1"/>
    <x v="9"/>
    <x v="1"/>
    <n v="3"/>
    <n v="3.75"/>
    <n v="11.25"/>
    <x v="2"/>
    <n v="22"/>
    <x v="6"/>
    <x v="0"/>
    <n v="11.25"/>
    <b v="1"/>
  </r>
  <r>
    <s v="ORD-00478"/>
    <x v="113"/>
    <s v="15:35"/>
    <x v="0"/>
    <x v="16"/>
    <x v="1"/>
    <n v="1"/>
    <n v="3.25"/>
    <n v="3.25"/>
    <x v="1"/>
    <n v="20"/>
    <x v="0"/>
    <x v="0"/>
    <n v="3.25"/>
    <b v="1"/>
  </r>
  <r>
    <s v="ORD-00479"/>
    <x v="132"/>
    <s v="21:20"/>
    <x v="1"/>
    <x v="17"/>
    <x v="0"/>
    <n v="2"/>
    <n v="15.95"/>
    <n v="31.9"/>
    <x v="1"/>
    <n v="3"/>
    <x v="12"/>
    <x v="0"/>
    <n v="31.9"/>
    <b v="1"/>
  </r>
  <r>
    <s v="ORD-00480"/>
    <x v="202"/>
    <s v="11:15"/>
    <x v="0"/>
    <x v="1"/>
    <x v="1"/>
    <n v="2"/>
    <n v="3.1"/>
    <n v="6.2"/>
    <x v="0"/>
    <n v="22"/>
    <x v="11"/>
    <x v="0"/>
    <n v="6.2"/>
    <b v="1"/>
  </r>
  <r>
    <s v="ORD-00481"/>
    <x v="119"/>
    <s v="18:35"/>
    <x v="1"/>
    <x v="9"/>
    <x v="1"/>
    <n v="2"/>
    <n v="3.75"/>
    <n v="7.5"/>
    <x v="0"/>
    <n v="16"/>
    <x v="0"/>
    <x v="0"/>
    <n v="7.5"/>
    <b v="1"/>
  </r>
  <r>
    <s v="ORD-00482"/>
    <x v="15"/>
    <s v="22:50"/>
    <x v="1"/>
    <x v="12"/>
    <x v="3"/>
    <n v="1"/>
    <n v="7.25"/>
    <n v="7.25"/>
    <x v="1"/>
    <n v="28"/>
    <x v="19"/>
    <x v="0"/>
    <n v="7.25"/>
    <b v="1"/>
  </r>
  <r>
    <s v="ORD-00483"/>
    <x v="98"/>
    <s v="20:30"/>
    <x v="1"/>
    <x v="3"/>
    <x v="2"/>
    <n v="2"/>
    <n v="8.5"/>
    <n v="0"/>
    <x v="1"/>
    <n v="19"/>
    <x v="25"/>
    <x v="2"/>
    <n v="17"/>
    <b v="1"/>
  </r>
  <r>
    <s v="ORD-00484"/>
    <x v="160"/>
    <s v="12:05"/>
    <x v="0"/>
    <x v="19"/>
    <x v="2"/>
    <n v="2"/>
    <n v="7.95"/>
    <n v="15.9"/>
    <x v="1"/>
    <n v="14"/>
    <x v="22"/>
    <x v="0"/>
    <n v="15.9"/>
    <b v="1"/>
  </r>
  <r>
    <s v="ORD-00485"/>
    <x v="210"/>
    <s v="17:45"/>
    <x v="1"/>
    <x v="1"/>
    <x v="1"/>
    <n v="1"/>
    <n v="3.1"/>
    <n v="3.1"/>
    <x v="1"/>
    <n v="26"/>
    <x v="0"/>
    <x v="0"/>
    <n v="3.1"/>
    <b v="1"/>
  </r>
  <r>
    <s v="ORD-00486"/>
    <x v="224"/>
    <s v="14:50"/>
    <x v="0"/>
    <x v="18"/>
    <x v="1"/>
    <n v="1"/>
    <n v="6.5"/>
    <n v="6.5"/>
    <x v="0"/>
    <n v="14"/>
    <x v="5"/>
    <x v="0"/>
    <n v="6.5"/>
    <b v="1"/>
  </r>
  <r>
    <s v="ORD-00487"/>
    <x v="174"/>
    <s v="20:15"/>
    <x v="1"/>
    <x v="12"/>
    <x v="3"/>
    <n v="1"/>
    <n v="7.25"/>
    <n v="7.25"/>
    <x v="0"/>
    <n v="18"/>
    <x v="2"/>
    <x v="0"/>
    <n v="7.25"/>
    <b v="1"/>
  </r>
  <r>
    <s v="ORD-00488"/>
    <x v="77"/>
    <s v="22:30"/>
    <x v="1"/>
    <x v="8"/>
    <x v="0"/>
    <n v="2"/>
    <n v="14.5"/>
    <n v="29"/>
    <x v="0"/>
    <n v="4"/>
    <x v="17"/>
    <x v="0"/>
    <n v="29"/>
    <b v="1"/>
  </r>
  <r>
    <s v="ORD-00489"/>
    <x v="155"/>
    <s v="18:05"/>
    <x v="1"/>
    <x v="11"/>
    <x v="0"/>
    <n v="1"/>
    <n v="12.5"/>
    <n v="12.5"/>
    <x v="0"/>
    <n v="22"/>
    <x v="6"/>
    <x v="0"/>
    <n v="12.5"/>
    <b v="1"/>
  </r>
  <r>
    <s v="ORD-00490"/>
    <x v="125"/>
    <s v="22:00"/>
    <x v="1"/>
    <x v="5"/>
    <x v="0"/>
    <n v="2"/>
    <n v="12.95"/>
    <n v="25.9"/>
    <x v="0"/>
    <n v="30"/>
    <x v="9"/>
    <x v="0"/>
    <n v="25.9"/>
    <b v="1"/>
  </r>
  <r>
    <s v="ORD-00491"/>
    <x v="225"/>
    <s v="12:25"/>
    <x v="0"/>
    <x v="5"/>
    <x v="0"/>
    <n v="2"/>
    <n v="12.95"/>
    <n v="25.9"/>
    <x v="0"/>
    <n v="20"/>
    <x v="11"/>
    <x v="0"/>
    <n v="25.9"/>
    <b v="1"/>
  </r>
  <r>
    <s v="ORD-00492"/>
    <x v="193"/>
    <s v="21:00"/>
    <x v="1"/>
    <x v="17"/>
    <x v="0"/>
    <n v="2"/>
    <n v="15.95"/>
    <n v="31.9"/>
    <x v="1"/>
    <n v="1"/>
    <x v="28"/>
    <x v="0"/>
    <n v="31.9"/>
    <b v="1"/>
  </r>
  <r>
    <s v="ORD-00493"/>
    <x v="226"/>
    <s v="11:45"/>
    <x v="0"/>
    <x v="1"/>
    <x v="1"/>
    <n v="1"/>
    <n v="3.1"/>
    <n v="3.1"/>
    <x v="1"/>
    <n v="12"/>
    <x v="1"/>
    <x v="0"/>
    <n v="3.1"/>
    <b v="1"/>
  </r>
  <r>
    <s v="ORD-00494"/>
    <x v="15"/>
    <s v="17:20"/>
    <x v="1"/>
    <x v="7"/>
    <x v="3"/>
    <n v="1"/>
    <n v="6.95"/>
    <n v="6.95"/>
    <x v="0"/>
    <n v="13"/>
    <x v="2"/>
    <x v="0"/>
    <n v="6.95"/>
    <b v="1"/>
  </r>
  <r>
    <s v="ORD-00495"/>
    <x v="226"/>
    <s v="11:05"/>
    <x v="0"/>
    <x v="4"/>
    <x v="1"/>
    <n v="1"/>
    <n v="2.8"/>
    <n v="2.8"/>
    <x v="1"/>
    <n v="27"/>
    <x v="14"/>
    <x v="0"/>
    <n v="2.8"/>
    <b v="1"/>
  </r>
  <r>
    <s v="ORD-00496"/>
    <x v="115"/>
    <s v="20:45"/>
    <x v="1"/>
    <x v="2"/>
    <x v="0"/>
    <n v="1"/>
    <n v="11.5"/>
    <n v="11.5"/>
    <x v="1"/>
    <n v="17"/>
    <x v="8"/>
    <x v="0"/>
    <n v="11.5"/>
    <b v="1"/>
  </r>
  <r>
    <s v="ORD-00497"/>
    <x v="48"/>
    <s v="19:05"/>
    <x v="1"/>
    <x v="1"/>
    <x v="1"/>
    <n v="3"/>
    <n v="3.1"/>
    <n v="9.3000000000000007"/>
    <x v="0"/>
    <n v="23"/>
    <x v="10"/>
    <x v="0"/>
    <n v="9.3000000000000007"/>
    <b v="1"/>
  </r>
  <r>
    <s v="ORD-00498"/>
    <x v="165"/>
    <s v="18:25"/>
    <x v="1"/>
    <x v="15"/>
    <x v="3"/>
    <n v="2"/>
    <n v="5.75"/>
    <n v="11.5"/>
    <x v="1"/>
    <n v="28"/>
    <x v="9"/>
    <x v="0"/>
    <n v="11.5"/>
    <b v="1"/>
  </r>
  <r>
    <s v="ORD-00499"/>
    <x v="33"/>
    <s v="14:50"/>
    <x v="0"/>
    <x v="0"/>
    <x v="0"/>
    <n v="2"/>
    <n v="9.9499999999999993"/>
    <n v="19.899999999999999"/>
    <x v="0"/>
    <n v="12"/>
    <x v="8"/>
    <x v="0"/>
    <n v="19.899999999999999"/>
    <b v="1"/>
  </r>
  <r>
    <s v="ORD-00500"/>
    <x v="36"/>
    <s v="19:15"/>
    <x v="1"/>
    <x v="19"/>
    <x v="2"/>
    <n v="1"/>
    <n v="7.95"/>
    <n v="7.95"/>
    <x v="2"/>
    <n v="24"/>
    <x v="2"/>
    <x v="0"/>
    <n v="7.95"/>
    <b v="1"/>
  </r>
  <r>
    <s v="ORD-00501"/>
    <x v="23"/>
    <s v="18:35"/>
    <x v="1"/>
    <x v="14"/>
    <x v="2"/>
    <n v="1"/>
    <n v="6.25"/>
    <n v="6.25"/>
    <x v="3"/>
    <n v="22"/>
    <x v="20"/>
    <x v="0"/>
    <n v="6.25"/>
    <b v="1"/>
  </r>
  <r>
    <s v="ORD-00502"/>
    <x v="21"/>
    <s v="18:15"/>
    <x v="1"/>
    <x v="0"/>
    <x v="0"/>
    <n v="2"/>
    <n v="9.9499999999999993"/>
    <n v="19.899999999999999"/>
    <x v="1"/>
    <n v="8"/>
    <x v="31"/>
    <x v="0"/>
    <n v="19.899999999999999"/>
    <b v="1"/>
  </r>
  <r>
    <s v="ORD-00503"/>
    <x v="227"/>
    <s v="19:10"/>
    <x v="1"/>
    <x v="10"/>
    <x v="0"/>
    <n v="1"/>
    <n v="11.95"/>
    <n v="11.95"/>
    <x v="1"/>
    <n v="20"/>
    <x v="10"/>
    <x v="0"/>
    <n v="11.95"/>
    <b v="1"/>
  </r>
  <r>
    <s v="ORD-00504"/>
    <x v="61"/>
    <s v="19:45"/>
    <x v="1"/>
    <x v="14"/>
    <x v="2"/>
    <n v="1"/>
    <n v="6.25"/>
    <n v="6.25"/>
    <x v="1"/>
    <n v="28"/>
    <x v="9"/>
    <x v="0"/>
    <n v="6.25"/>
    <b v="1"/>
  </r>
  <r>
    <s v="ORD-00505"/>
    <x v="132"/>
    <s v="21:20"/>
    <x v="1"/>
    <x v="7"/>
    <x v="3"/>
    <n v="1"/>
    <n v="6.95"/>
    <n v="6.95"/>
    <x v="0"/>
    <n v="14"/>
    <x v="27"/>
    <x v="0"/>
    <n v="6.95"/>
    <b v="1"/>
  </r>
  <r>
    <s v="ORD-00506"/>
    <x v="1"/>
    <s v="20:50"/>
    <x v="1"/>
    <x v="17"/>
    <x v="0"/>
    <n v="1"/>
    <n v="15.95"/>
    <n v="15.95"/>
    <x v="0"/>
    <n v="23"/>
    <x v="27"/>
    <x v="0"/>
    <n v="15.95"/>
    <b v="1"/>
  </r>
  <r>
    <s v="ORD-00507"/>
    <x v="171"/>
    <s v="17:50"/>
    <x v="1"/>
    <x v="11"/>
    <x v="0"/>
    <n v="1"/>
    <n v="12.5"/>
    <n v="12.5"/>
    <x v="1"/>
    <n v="9"/>
    <x v="10"/>
    <x v="0"/>
    <n v="12.5"/>
    <b v="1"/>
  </r>
  <r>
    <s v="ORD-00508"/>
    <x v="10"/>
    <s v="14:45"/>
    <x v="0"/>
    <x v="14"/>
    <x v="2"/>
    <n v="1"/>
    <n v="6.25"/>
    <n v="6.25"/>
    <x v="1"/>
    <n v="14"/>
    <x v="21"/>
    <x v="0"/>
    <n v="6.25"/>
    <b v="1"/>
  </r>
  <r>
    <s v="ORD-00509"/>
    <x v="100"/>
    <s v="14:20"/>
    <x v="0"/>
    <x v="15"/>
    <x v="3"/>
    <n v="1"/>
    <n v="5.75"/>
    <n v="5.75"/>
    <x v="1"/>
    <n v="27"/>
    <x v="27"/>
    <x v="0"/>
    <n v="5.75"/>
    <b v="1"/>
  </r>
  <r>
    <s v="ORD-00510"/>
    <x v="63"/>
    <s v="21:30"/>
    <x v="1"/>
    <x v="7"/>
    <x v="3"/>
    <n v="1"/>
    <n v="6.95"/>
    <n v="0"/>
    <x v="0"/>
    <n v="5"/>
    <x v="20"/>
    <x v="2"/>
    <n v="6.95"/>
    <b v="1"/>
  </r>
  <r>
    <s v="ORD-00511"/>
    <x v="36"/>
    <s v="14:10"/>
    <x v="0"/>
    <x v="1"/>
    <x v="1"/>
    <n v="1"/>
    <n v="3.1"/>
    <n v="3.1"/>
    <x v="3"/>
    <n v="18"/>
    <x v="0"/>
    <x v="0"/>
    <n v="3.1"/>
    <b v="1"/>
  </r>
  <r>
    <s v="ORD-00512"/>
    <x v="228"/>
    <s v="22:10"/>
    <x v="1"/>
    <x v="13"/>
    <x v="0"/>
    <n v="1"/>
    <n v="13.5"/>
    <n v="13.5"/>
    <x v="2"/>
    <n v="16"/>
    <x v="7"/>
    <x v="0"/>
    <n v="13.5"/>
    <b v="1"/>
  </r>
  <r>
    <s v="ORD-00513"/>
    <x v="143"/>
    <s v="19:20"/>
    <x v="1"/>
    <x v="3"/>
    <x v="2"/>
    <n v="1"/>
    <n v="8.5"/>
    <n v="8.5"/>
    <x v="0"/>
    <n v="1"/>
    <x v="18"/>
    <x v="0"/>
    <n v="8.5"/>
    <b v="1"/>
  </r>
  <r>
    <s v="ORD-00514"/>
    <x v="58"/>
    <s v="21:15"/>
    <x v="1"/>
    <x v="18"/>
    <x v="1"/>
    <n v="1"/>
    <n v="6.5"/>
    <n v="6.5"/>
    <x v="1"/>
    <n v="18"/>
    <x v="5"/>
    <x v="0"/>
    <n v="6.5"/>
    <b v="1"/>
  </r>
  <r>
    <s v="ORD-00515"/>
    <x v="71"/>
    <s v="15:35"/>
    <x v="0"/>
    <x v="15"/>
    <x v="3"/>
    <n v="3"/>
    <n v="5.75"/>
    <n v="17.25"/>
    <x v="3"/>
    <n v="5"/>
    <x v="0"/>
    <x v="0"/>
    <n v="17.25"/>
    <b v="1"/>
  </r>
  <r>
    <s v="ORD-00516"/>
    <x v="3"/>
    <s v="21:45"/>
    <x v="1"/>
    <x v="7"/>
    <x v="3"/>
    <n v="2"/>
    <n v="6.95"/>
    <n v="13.9"/>
    <x v="1"/>
    <n v="3"/>
    <x v="7"/>
    <x v="0"/>
    <n v="13.9"/>
    <b v="1"/>
  </r>
  <r>
    <s v="ORD-00517"/>
    <x v="91"/>
    <s v="13:55"/>
    <x v="0"/>
    <x v="6"/>
    <x v="2"/>
    <n v="2"/>
    <n v="5.5"/>
    <n v="11"/>
    <x v="3"/>
    <n v="28"/>
    <x v="7"/>
    <x v="0"/>
    <n v="11"/>
    <b v="1"/>
  </r>
  <r>
    <s v="ORD-00518"/>
    <x v="107"/>
    <s v="20:10"/>
    <x v="1"/>
    <x v="17"/>
    <x v="0"/>
    <n v="2"/>
    <n v="15.95"/>
    <n v="31.9"/>
    <x v="1"/>
    <n v="24"/>
    <x v="23"/>
    <x v="0"/>
    <n v="31.9"/>
    <b v="1"/>
  </r>
  <r>
    <s v="ORD-00519"/>
    <x v="68"/>
    <s v="22:55"/>
    <x v="1"/>
    <x v="5"/>
    <x v="0"/>
    <n v="1"/>
    <n v="12.95"/>
    <n v="12.95"/>
    <x v="0"/>
    <n v="29"/>
    <x v="13"/>
    <x v="0"/>
    <n v="12.95"/>
    <b v="1"/>
  </r>
  <r>
    <s v="ORD-00520"/>
    <x v="186"/>
    <s v="14:40"/>
    <x v="0"/>
    <x v="5"/>
    <x v="0"/>
    <n v="1"/>
    <n v="12.95"/>
    <n v="12.95"/>
    <x v="1"/>
    <n v="5"/>
    <x v="8"/>
    <x v="0"/>
    <n v="12.95"/>
    <b v="1"/>
  </r>
  <r>
    <s v="ORD-00521"/>
    <x v="25"/>
    <s v="12:55"/>
    <x v="0"/>
    <x v="19"/>
    <x v="2"/>
    <n v="1"/>
    <n v="7.95"/>
    <n v="7.95"/>
    <x v="1"/>
    <n v="1"/>
    <x v="21"/>
    <x v="0"/>
    <n v="7.95"/>
    <b v="1"/>
  </r>
  <r>
    <s v="ORD-00522"/>
    <x v="133"/>
    <s v="19:35"/>
    <x v="1"/>
    <x v="15"/>
    <x v="3"/>
    <n v="4"/>
    <n v="5.75"/>
    <n v="23"/>
    <x v="1"/>
    <n v="30"/>
    <x v="15"/>
    <x v="0"/>
    <n v="23"/>
    <b v="1"/>
  </r>
  <r>
    <s v="ORD-00523"/>
    <x v="229"/>
    <s v="15:10"/>
    <x v="0"/>
    <x v="18"/>
    <x v="1"/>
    <n v="2"/>
    <n v="6.5"/>
    <n v="13"/>
    <x v="0"/>
    <n v="14"/>
    <x v="24"/>
    <x v="0"/>
    <n v="13"/>
    <b v="1"/>
  </r>
  <r>
    <s v="ORD-00524"/>
    <x v="111"/>
    <s v="20:40"/>
    <x v="1"/>
    <x v="0"/>
    <x v="0"/>
    <n v="2"/>
    <n v="9.9499999999999993"/>
    <n v="19.899999999999999"/>
    <x v="0"/>
    <n v="10"/>
    <x v="4"/>
    <x v="0"/>
    <n v="19.899999999999999"/>
    <b v="1"/>
  </r>
  <r>
    <s v="ORD-00525"/>
    <x v="221"/>
    <s v="11:00"/>
    <x v="0"/>
    <x v="1"/>
    <x v="1"/>
    <n v="2"/>
    <n v="3.1"/>
    <n v="6.2"/>
    <x v="0"/>
    <n v="1"/>
    <x v="11"/>
    <x v="0"/>
    <n v="6.2"/>
    <b v="1"/>
  </r>
  <r>
    <s v="ORD-00526"/>
    <x v="136"/>
    <s v="20:20"/>
    <x v="1"/>
    <x v="2"/>
    <x v="0"/>
    <n v="2"/>
    <n v="11.5"/>
    <n v="23"/>
    <x v="1"/>
    <n v="20"/>
    <x v="27"/>
    <x v="0"/>
    <n v="23"/>
    <b v="1"/>
  </r>
  <r>
    <s v="ORD-00527"/>
    <x v="230"/>
    <s v="18:30"/>
    <x v="1"/>
    <x v="4"/>
    <x v="1"/>
    <n v="1"/>
    <n v="2.8"/>
    <n v="2.8"/>
    <x v="2"/>
    <n v="13"/>
    <x v="20"/>
    <x v="0"/>
    <n v="2.8"/>
    <b v="1"/>
  </r>
  <r>
    <s v="ORD-00528"/>
    <x v="201"/>
    <s v="14:50"/>
    <x v="0"/>
    <x v="0"/>
    <x v="0"/>
    <n v="1"/>
    <n v="9.9499999999999993"/>
    <n v="9.9499999999999993"/>
    <x v="0"/>
    <n v="26"/>
    <x v="18"/>
    <x v="0"/>
    <n v="9.9499999999999993"/>
    <b v="1"/>
  </r>
  <r>
    <s v="ORD-00529"/>
    <x v="231"/>
    <s v="15:20"/>
    <x v="0"/>
    <x v="12"/>
    <x v="3"/>
    <n v="1"/>
    <n v="7.25"/>
    <n v="7.25"/>
    <x v="0"/>
    <n v="21"/>
    <x v="20"/>
    <x v="0"/>
    <n v="7.25"/>
    <b v="1"/>
  </r>
  <r>
    <s v="ORD-00530"/>
    <x v="232"/>
    <s v="15:35"/>
    <x v="0"/>
    <x v="11"/>
    <x v="0"/>
    <n v="1"/>
    <n v="12.5"/>
    <n v="12.5"/>
    <x v="3"/>
    <n v="2"/>
    <x v="17"/>
    <x v="0"/>
    <n v="12.5"/>
    <b v="1"/>
  </r>
  <r>
    <s v="ORD-00531"/>
    <x v="158"/>
    <s v="11:20"/>
    <x v="0"/>
    <x v="6"/>
    <x v="2"/>
    <n v="1"/>
    <n v="5.5"/>
    <n v="5.5"/>
    <x v="1"/>
    <n v="5"/>
    <x v="7"/>
    <x v="0"/>
    <n v="5.5"/>
    <b v="1"/>
  </r>
  <r>
    <s v="ORD-00532"/>
    <x v="166"/>
    <s v="13:35"/>
    <x v="0"/>
    <x v="3"/>
    <x v="2"/>
    <n v="1"/>
    <n v="8.5"/>
    <n v="8.5"/>
    <x v="1"/>
    <n v="11"/>
    <x v="5"/>
    <x v="0"/>
    <n v="8.5"/>
    <b v="1"/>
  </r>
  <r>
    <s v="ORD-00533"/>
    <x v="167"/>
    <s v="14:05"/>
    <x v="0"/>
    <x v="4"/>
    <x v="1"/>
    <n v="1"/>
    <n v="2.8"/>
    <n v="2.8"/>
    <x v="2"/>
    <n v="13"/>
    <x v="9"/>
    <x v="0"/>
    <n v="2.8"/>
    <b v="1"/>
  </r>
  <r>
    <s v="ORD-00534"/>
    <x v="49"/>
    <s v="22:15"/>
    <x v="1"/>
    <x v="7"/>
    <x v="3"/>
    <n v="2"/>
    <n v="6.95"/>
    <n v="13.9"/>
    <x v="0"/>
    <n v="8"/>
    <x v="8"/>
    <x v="0"/>
    <n v="13.9"/>
    <b v="1"/>
  </r>
  <r>
    <s v="ORD-00535"/>
    <x v="206"/>
    <s v="11:40"/>
    <x v="0"/>
    <x v="11"/>
    <x v="0"/>
    <n v="1"/>
    <n v="12.5"/>
    <n v="12.5"/>
    <x v="0"/>
    <n v="6"/>
    <x v="25"/>
    <x v="0"/>
    <n v="12.5"/>
    <b v="1"/>
  </r>
  <r>
    <s v="ORD-00536"/>
    <x v="61"/>
    <s v="21:40"/>
    <x v="1"/>
    <x v="10"/>
    <x v="0"/>
    <n v="1"/>
    <n v="11.95"/>
    <n v="11.95"/>
    <x v="1"/>
    <n v="10"/>
    <x v="10"/>
    <x v="0"/>
    <n v="11.95"/>
    <b v="1"/>
  </r>
  <r>
    <s v="ORD-00537"/>
    <x v="145"/>
    <s v="18:05"/>
    <x v="1"/>
    <x v="0"/>
    <x v="0"/>
    <n v="2"/>
    <n v="9.9499999999999993"/>
    <n v="19.899999999999999"/>
    <x v="1"/>
    <n v="19"/>
    <x v="26"/>
    <x v="0"/>
    <n v="19.899999999999999"/>
    <b v="1"/>
  </r>
  <r>
    <s v="ORD-00538"/>
    <x v="164"/>
    <s v="11:45"/>
    <x v="0"/>
    <x v="16"/>
    <x v="1"/>
    <n v="2"/>
    <n v="3.25"/>
    <n v="6.5"/>
    <x v="2"/>
    <n v="12"/>
    <x v="0"/>
    <x v="0"/>
    <n v="6.5"/>
    <b v="1"/>
  </r>
  <r>
    <s v="ORD-00539"/>
    <x v="227"/>
    <s v="11:50"/>
    <x v="0"/>
    <x v="9"/>
    <x v="1"/>
    <n v="1"/>
    <n v="3.75"/>
    <n v="-3.75"/>
    <x v="1"/>
    <n v="21"/>
    <x v="4"/>
    <x v="1"/>
    <n v="3.75"/>
    <b v="1"/>
  </r>
  <r>
    <s v="ORD-00540"/>
    <x v="14"/>
    <s v="12:25"/>
    <x v="0"/>
    <x v="4"/>
    <x v="1"/>
    <n v="2"/>
    <n v="2.8"/>
    <n v="0"/>
    <x v="2"/>
    <n v="12"/>
    <x v="4"/>
    <x v="2"/>
    <n v="5.6"/>
    <b v="1"/>
  </r>
  <r>
    <s v="ORD-00541"/>
    <x v="18"/>
    <s v="17:55"/>
    <x v="1"/>
    <x v="7"/>
    <x v="3"/>
    <n v="1"/>
    <n v="6.95"/>
    <n v="6.95"/>
    <x v="0"/>
    <n v="23"/>
    <x v="19"/>
    <x v="0"/>
    <n v="6.95"/>
    <b v="1"/>
  </r>
  <r>
    <s v="ORD-00542"/>
    <x v="92"/>
    <s v="20:15"/>
    <x v="1"/>
    <x v="18"/>
    <x v="1"/>
    <n v="1"/>
    <n v="6.5"/>
    <n v="6.5"/>
    <x v="0"/>
    <n v="11"/>
    <x v="2"/>
    <x v="0"/>
    <n v="6.5"/>
    <b v="1"/>
  </r>
  <r>
    <s v="ORD-00543"/>
    <x v="116"/>
    <s v="21:40"/>
    <x v="1"/>
    <x v="17"/>
    <x v="0"/>
    <n v="1"/>
    <n v="15.95"/>
    <n v="15.95"/>
    <x v="0"/>
    <n v="18"/>
    <x v="22"/>
    <x v="0"/>
    <n v="15.95"/>
    <b v="1"/>
  </r>
  <r>
    <s v="ORD-00544"/>
    <x v="15"/>
    <s v="21:30"/>
    <x v="1"/>
    <x v="17"/>
    <x v="0"/>
    <n v="3"/>
    <n v="15.95"/>
    <n v="47.85"/>
    <x v="0"/>
    <n v="28"/>
    <x v="21"/>
    <x v="0"/>
    <n v="47.849999999999994"/>
    <b v="1"/>
  </r>
  <r>
    <s v="ORD-00545"/>
    <x v="148"/>
    <s v="11:50"/>
    <x v="0"/>
    <x v="4"/>
    <x v="1"/>
    <n v="2"/>
    <n v="2.8"/>
    <n v="5.6"/>
    <x v="1"/>
    <n v="18"/>
    <x v="1"/>
    <x v="0"/>
    <n v="5.6"/>
    <b v="1"/>
  </r>
  <r>
    <s v="ORD-00546"/>
    <x v="124"/>
    <s v="13:05"/>
    <x v="0"/>
    <x v="10"/>
    <x v="0"/>
    <n v="1"/>
    <n v="11.95"/>
    <n v="11.95"/>
    <x v="2"/>
    <n v="2"/>
    <x v="2"/>
    <x v="0"/>
    <n v="11.95"/>
    <b v="1"/>
  </r>
  <r>
    <s v="ORD-00547"/>
    <x v="214"/>
    <s v="11:15"/>
    <x v="0"/>
    <x v="10"/>
    <x v="0"/>
    <n v="1"/>
    <n v="11.95"/>
    <n v="11.95"/>
    <x v="0"/>
    <n v="13"/>
    <x v="18"/>
    <x v="0"/>
    <n v="11.95"/>
    <b v="1"/>
  </r>
  <r>
    <s v="ORD-00548"/>
    <x v="120"/>
    <s v="21:20"/>
    <x v="1"/>
    <x v="13"/>
    <x v="0"/>
    <n v="1"/>
    <n v="13.5"/>
    <n v="13.5"/>
    <x v="1"/>
    <n v="23"/>
    <x v="13"/>
    <x v="0"/>
    <n v="13.5"/>
    <b v="1"/>
  </r>
  <r>
    <s v="ORD-00549"/>
    <x v="104"/>
    <s v="17:35"/>
    <x v="1"/>
    <x v="13"/>
    <x v="0"/>
    <n v="1"/>
    <n v="13.5"/>
    <n v="0"/>
    <x v="2"/>
    <n v="12"/>
    <x v="27"/>
    <x v="2"/>
    <n v="13.5"/>
    <b v="1"/>
  </r>
  <r>
    <s v="ORD-00550"/>
    <x v="233"/>
    <s v="19:40"/>
    <x v="1"/>
    <x v="13"/>
    <x v="0"/>
    <n v="2"/>
    <n v="13.5"/>
    <n v="27"/>
    <x v="3"/>
    <n v="3"/>
    <x v="8"/>
    <x v="0"/>
    <n v="27"/>
    <b v="1"/>
  </r>
  <r>
    <s v="ORD-00551"/>
    <x v="226"/>
    <s v="12:40"/>
    <x v="0"/>
    <x v="7"/>
    <x v="3"/>
    <n v="1"/>
    <n v="6.95"/>
    <n v="6.95"/>
    <x v="0"/>
    <n v="6"/>
    <x v="5"/>
    <x v="0"/>
    <n v="6.95"/>
    <b v="1"/>
  </r>
  <r>
    <s v="ORD-00552"/>
    <x v="86"/>
    <s v="22:45"/>
    <x v="1"/>
    <x v="3"/>
    <x v="2"/>
    <n v="2"/>
    <n v="8.5"/>
    <n v="17"/>
    <x v="0"/>
    <n v="22"/>
    <x v="14"/>
    <x v="0"/>
    <n v="17"/>
    <b v="1"/>
  </r>
  <r>
    <s v="ORD-00553"/>
    <x v="213"/>
    <s v="12:40"/>
    <x v="0"/>
    <x v="7"/>
    <x v="3"/>
    <n v="1"/>
    <n v="6.95"/>
    <n v="6.95"/>
    <x v="3"/>
    <n v="15"/>
    <x v="12"/>
    <x v="0"/>
    <n v="6.95"/>
    <b v="1"/>
  </r>
  <r>
    <s v="ORD-00554"/>
    <x v="171"/>
    <s v="19:25"/>
    <x v="1"/>
    <x v="12"/>
    <x v="3"/>
    <n v="2"/>
    <n v="7.25"/>
    <n v="14.5"/>
    <x v="0"/>
    <n v="27"/>
    <x v="32"/>
    <x v="0"/>
    <n v="14.5"/>
    <b v="1"/>
  </r>
  <r>
    <s v="ORD-00555"/>
    <x v="144"/>
    <s v="18:30"/>
    <x v="1"/>
    <x v="4"/>
    <x v="1"/>
    <n v="3"/>
    <n v="2.8"/>
    <n v="8.4"/>
    <x v="1"/>
    <n v="13"/>
    <x v="24"/>
    <x v="0"/>
    <n v="8.3999999999999986"/>
    <b v="1"/>
  </r>
  <r>
    <s v="ORD-00556"/>
    <x v="206"/>
    <s v="21:00"/>
    <x v="1"/>
    <x v="1"/>
    <x v="1"/>
    <n v="1"/>
    <n v="3.1"/>
    <n v="3.1"/>
    <x v="1"/>
    <n v="1"/>
    <x v="20"/>
    <x v="0"/>
    <n v="3.1"/>
    <b v="1"/>
  </r>
  <r>
    <s v="ORD-00557"/>
    <x v="101"/>
    <s v="13:00"/>
    <x v="0"/>
    <x v="6"/>
    <x v="2"/>
    <n v="3"/>
    <n v="5.5"/>
    <n v="16.5"/>
    <x v="1"/>
    <n v="5"/>
    <x v="11"/>
    <x v="0"/>
    <n v="16.5"/>
    <b v="1"/>
  </r>
  <r>
    <s v="ORD-00558"/>
    <x v="4"/>
    <s v="12:20"/>
    <x v="0"/>
    <x v="3"/>
    <x v="2"/>
    <n v="3"/>
    <n v="8.5"/>
    <n v="25.5"/>
    <x v="1"/>
    <n v="8"/>
    <x v="5"/>
    <x v="0"/>
    <n v="25.5"/>
    <b v="1"/>
  </r>
  <r>
    <s v="ORD-00559"/>
    <x v="30"/>
    <s v="14:45"/>
    <x v="0"/>
    <x v="11"/>
    <x v="0"/>
    <n v="2"/>
    <n v="12.5"/>
    <n v="25"/>
    <x v="2"/>
    <n v="16"/>
    <x v="9"/>
    <x v="0"/>
    <n v="25"/>
    <b v="1"/>
  </r>
  <r>
    <s v="ORD-00560"/>
    <x v="154"/>
    <s v="19:00"/>
    <x v="1"/>
    <x v="18"/>
    <x v="1"/>
    <n v="1"/>
    <n v="6.5"/>
    <n v="-6.5"/>
    <x v="3"/>
    <n v="2"/>
    <x v="19"/>
    <x v="1"/>
    <n v="6.5"/>
    <b v="1"/>
  </r>
  <r>
    <s v="ORD-00561"/>
    <x v="152"/>
    <s v="14:30"/>
    <x v="0"/>
    <x v="10"/>
    <x v="0"/>
    <n v="2"/>
    <n v="11.95"/>
    <n v="23.9"/>
    <x v="1"/>
    <n v="30"/>
    <x v="7"/>
    <x v="0"/>
    <n v="23.9"/>
    <b v="1"/>
  </r>
  <r>
    <s v="ORD-00562"/>
    <x v="219"/>
    <s v="15:00"/>
    <x v="0"/>
    <x v="14"/>
    <x v="2"/>
    <n v="1"/>
    <n v="6.25"/>
    <n v="6.25"/>
    <x v="0"/>
    <n v="11"/>
    <x v="11"/>
    <x v="0"/>
    <n v="6.25"/>
    <b v="1"/>
  </r>
  <r>
    <s v="ORD-00563"/>
    <x v="101"/>
    <s v="14:35"/>
    <x v="0"/>
    <x v="9"/>
    <x v="1"/>
    <n v="1"/>
    <n v="3.75"/>
    <n v="3.75"/>
    <x v="1"/>
    <n v="13"/>
    <x v="22"/>
    <x v="0"/>
    <n v="3.75"/>
    <b v="1"/>
  </r>
  <r>
    <s v="ORD-00564"/>
    <x v="3"/>
    <s v="15:55"/>
    <x v="0"/>
    <x v="13"/>
    <x v="0"/>
    <n v="1"/>
    <n v="13.5"/>
    <n v="13.5"/>
    <x v="0"/>
    <n v="3"/>
    <x v="17"/>
    <x v="0"/>
    <n v="13.5"/>
    <b v="1"/>
  </r>
  <r>
    <s v="ORD-00565"/>
    <x v="13"/>
    <s v="18:10"/>
    <x v="1"/>
    <x v="16"/>
    <x v="1"/>
    <n v="1"/>
    <n v="3.25"/>
    <n v="3.25"/>
    <x v="0"/>
    <n v="18"/>
    <x v="16"/>
    <x v="0"/>
    <n v="3.25"/>
    <b v="1"/>
  </r>
  <r>
    <s v="ORD-00566"/>
    <x v="69"/>
    <s v="11:20"/>
    <x v="0"/>
    <x v="12"/>
    <x v="3"/>
    <n v="1"/>
    <n v="7.25"/>
    <n v="7.25"/>
    <x v="1"/>
    <n v="3"/>
    <x v="17"/>
    <x v="0"/>
    <n v="7.25"/>
    <b v="1"/>
  </r>
  <r>
    <s v="ORD-00567"/>
    <x v="234"/>
    <s v="19:15"/>
    <x v="1"/>
    <x v="14"/>
    <x v="2"/>
    <n v="1"/>
    <n v="6.25"/>
    <n v="6.25"/>
    <x v="0"/>
    <n v="12"/>
    <x v="27"/>
    <x v="0"/>
    <n v="6.25"/>
    <b v="1"/>
  </r>
  <r>
    <s v="ORD-00568"/>
    <x v="83"/>
    <s v="20:00"/>
    <x v="1"/>
    <x v="0"/>
    <x v="0"/>
    <n v="1"/>
    <n v="9.9499999999999993"/>
    <n v="9.9499999999999993"/>
    <x v="2"/>
    <n v="5"/>
    <x v="17"/>
    <x v="0"/>
    <n v="9.9499999999999993"/>
    <b v="1"/>
  </r>
  <r>
    <s v="ORD-00569"/>
    <x v="113"/>
    <s v="11:15"/>
    <x v="0"/>
    <x v="9"/>
    <x v="1"/>
    <n v="3"/>
    <n v="3.75"/>
    <n v="11.25"/>
    <x v="1"/>
    <n v="4"/>
    <x v="20"/>
    <x v="0"/>
    <n v="11.25"/>
    <b v="1"/>
  </r>
  <r>
    <s v="ORD-00570"/>
    <x v="156"/>
    <s v="12:55"/>
    <x v="0"/>
    <x v="4"/>
    <x v="1"/>
    <n v="1"/>
    <n v="2.8"/>
    <n v="2.8"/>
    <x v="2"/>
    <n v="17"/>
    <x v="22"/>
    <x v="0"/>
    <n v="2.8"/>
    <b v="1"/>
  </r>
  <r>
    <s v="ORD-00571"/>
    <x v="169"/>
    <s v="18:55"/>
    <x v="1"/>
    <x v="2"/>
    <x v="0"/>
    <n v="1"/>
    <n v="11.5"/>
    <n v="11.5"/>
    <x v="1"/>
    <n v="2"/>
    <x v="7"/>
    <x v="0"/>
    <n v="11.5"/>
    <b v="1"/>
  </r>
  <r>
    <s v="ORD-00572"/>
    <x v="63"/>
    <s v="11:05"/>
    <x v="0"/>
    <x v="7"/>
    <x v="3"/>
    <n v="2"/>
    <n v="6.95"/>
    <n v="13.9"/>
    <x v="3"/>
    <n v="28"/>
    <x v="7"/>
    <x v="0"/>
    <n v="13.9"/>
    <b v="1"/>
  </r>
  <r>
    <s v="ORD-00573"/>
    <x v="178"/>
    <s v="17:20"/>
    <x v="1"/>
    <x v="7"/>
    <x v="3"/>
    <n v="1"/>
    <n v="6.95"/>
    <n v="6.95"/>
    <x v="1"/>
    <n v="29"/>
    <x v="0"/>
    <x v="0"/>
    <n v="6.95"/>
    <b v="1"/>
  </r>
  <r>
    <s v="ORD-00574"/>
    <x v="235"/>
    <s v="12:40"/>
    <x v="0"/>
    <x v="15"/>
    <x v="3"/>
    <n v="1"/>
    <n v="5.75"/>
    <n v="5.75"/>
    <x v="1"/>
    <n v="1"/>
    <x v="7"/>
    <x v="0"/>
    <n v="5.75"/>
    <b v="1"/>
  </r>
  <r>
    <s v="ORD-00575"/>
    <x v="98"/>
    <s v="14:30"/>
    <x v="0"/>
    <x v="17"/>
    <x v="0"/>
    <n v="1"/>
    <n v="15.95"/>
    <n v="15.95"/>
    <x v="3"/>
    <n v="8"/>
    <x v="0"/>
    <x v="0"/>
    <n v="15.95"/>
    <b v="1"/>
  </r>
  <r>
    <s v="ORD-00576"/>
    <x v="236"/>
    <s v="11:50"/>
    <x v="0"/>
    <x v="6"/>
    <x v="2"/>
    <n v="2"/>
    <n v="5.5"/>
    <n v="11"/>
    <x v="3"/>
    <n v="18"/>
    <x v="6"/>
    <x v="0"/>
    <n v="11"/>
    <b v="1"/>
  </r>
  <r>
    <s v="ORD-00577"/>
    <x v="121"/>
    <s v="14:50"/>
    <x v="0"/>
    <x v="8"/>
    <x v="0"/>
    <n v="1"/>
    <n v="14.5"/>
    <n v="14.5"/>
    <x v="0"/>
    <n v="28"/>
    <x v="4"/>
    <x v="0"/>
    <n v="14.5"/>
    <b v="1"/>
  </r>
  <r>
    <s v="ORD-00578"/>
    <x v="91"/>
    <s v="21:10"/>
    <x v="1"/>
    <x v="12"/>
    <x v="3"/>
    <n v="4"/>
    <n v="7.25"/>
    <n v="29"/>
    <x v="0"/>
    <n v="11"/>
    <x v="20"/>
    <x v="0"/>
    <n v="29"/>
    <b v="1"/>
  </r>
  <r>
    <s v="ORD-00579"/>
    <x v="31"/>
    <s v="12:45"/>
    <x v="0"/>
    <x v="4"/>
    <x v="1"/>
    <n v="2"/>
    <n v="2.8"/>
    <n v="5.6"/>
    <x v="3"/>
    <n v="23"/>
    <x v="9"/>
    <x v="0"/>
    <n v="5.6"/>
    <b v="1"/>
  </r>
  <r>
    <s v="ORD-00580"/>
    <x v="237"/>
    <s v="18:50"/>
    <x v="1"/>
    <x v="18"/>
    <x v="1"/>
    <n v="3"/>
    <n v="6.5"/>
    <n v="19.5"/>
    <x v="0"/>
    <n v="3"/>
    <x v="22"/>
    <x v="0"/>
    <n v="19.5"/>
    <b v="1"/>
  </r>
  <r>
    <s v="ORD-00581"/>
    <x v="135"/>
    <s v="12:55"/>
    <x v="0"/>
    <x v="2"/>
    <x v="0"/>
    <n v="2"/>
    <n v="11.5"/>
    <n v="23"/>
    <x v="3"/>
    <n v="24"/>
    <x v="17"/>
    <x v="0"/>
    <n v="23"/>
    <b v="1"/>
  </r>
  <r>
    <s v="ORD-00582"/>
    <x v="116"/>
    <s v="12:05"/>
    <x v="0"/>
    <x v="8"/>
    <x v="0"/>
    <n v="1"/>
    <n v="14.5"/>
    <n v="-14.5"/>
    <x v="0"/>
    <n v="20"/>
    <x v="2"/>
    <x v="1"/>
    <n v="14.5"/>
    <b v="1"/>
  </r>
  <r>
    <s v="ORD-00583"/>
    <x v="151"/>
    <s v="18:50"/>
    <x v="1"/>
    <x v="2"/>
    <x v="0"/>
    <n v="1"/>
    <n v="11.5"/>
    <n v="11.5"/>
    <x v="0"/>
    <n v="28"/>
    <x v="17"/>
    <x v="0"/>
    <n v="11.5"/>
    <b v="1"/>
  </r>
  <r>
    <s v="ORD-00584"/>
    <x v="185"/>
    <s v="14:35"/>
    <x v="0"/>
    <x v="16"/>
    <x v="1"/>
    <n v="1"/>
    <n v="3.25"/>
    <n v="3.25"/>
    <x v="1"/>
    <n v="8"/>
    <x v="11"/>
    <x v="0"/>
    <n v="3.25"/>
    <b v="1"/>
  </r>
  <r>
    <s v="ORD-00585"/>
    <x v="238"/>
    <s v="20:15"/>
    <x v="1"/>
    <x v="11"/>
    <x v="0"/>
    <n v="2"/>
    <n v="12.5"/>
    <n v="25"/>
    <x v="3"/>
    <n v="15"/>
    <x v="23"/>
    <x v="0"/>
    <n v="25"/>
    <b v="1"/>
  </r>
  <r>
    <s v="ORD-00586"/>
    <x v="87"/>
    <s v="20:15"/>
    <x v="1"/>
    <x v="12"/>
    <x v="3"/>
    <n v="1"/>
    <n v="7.25"/>
    <n v="7.25"/>
    <x v="0"/>
    <n v="20"/>
    <x v="29"/>
    <x v="0"/>
    <n v="7.25"/>
    <b v="1"/>
  </r>
  <r>
    <s v="ORD-00587"/>
    <x v="57"/>
    <s v="20:45"/>
    <x v="1"/>
    <x v="18"/>
    <x v="1"/>
    <n v="2"/>
    <n v="6.5"/>
    <n v="13"/>
    <x v="0"/>
    <n v="2"/>
    <x v="4"/>
    <x v="0"/>
    <n v="13"/>
    <b v="1"/>
  </r>
  <r>
    <s v="ORD-00588"/>
    <x v="232"/>
    <s v="17:15"/>
    <x v="1"/>
    <x v="1"/>
    <x v="1"/>
    <n v="1"/>
    <n v="3.1"/>
    <n v="0"/>
    <x v="0"/>
    <n v="2"/>
    <x v="11"/>
    <x v="2"/>
    <n v="3.1"/>
    <b v="1"/>
  </r>
  <r>
    <s v="ORD-00589"/>
    <x v="239"/>
    <s v="17:15"/>
    <x v="1"/>
    <x v="19"/>
    <x v="2"/>
    <n v="1"/>
    <n v="7.95"/>
    <n v="7.95"/>
    <x v="0"/>
    <n v="6"/>
    <x v="17"/>
    <x v="0"/>
    <n v="7.95"/>
    <b v="1"/>
  </r>
  <r>
    <s v="ORD-00590"/>
    <x v="186"/>
    <s v="18:35"/>
    <x v="1"/>
    <x v="15"/>
    <x v="3"/>
    <n v="1"/>
    <n v="5.75"/>
    <n v="5.75"/>
    <x v="1"/>
    <n v="4"/>
    <x v="7"/>
    <x v="0"/>
    <n v="5.75"/>
    <b v="1"/>
  </r>
  <r>
    <s v="ORD-00591"/>
    <x v="237"/>
    <s v="19:35"/>
    <x v="1"/>
    <x v="2"/>
    <x v="0"/>
    <n v="1"/>
    <n v="11.5"/>
    <n v="11.5"/>
    <x v="0"/>
    <n v="29"/>
    <x v="26"/>
    <x v="0"/>
    <n v="11.5"/>
    <b v="1"/>
  </r>
  <r>
    <s v="ORD-00592"/>
    <x v="68"/>
    <s v="12:55"/>
    <x v="0"/>
    <x v="10"/>
    <x v="0"/>
    <n v="1"/>
    <n v="11.95"/>
    <n v="11.95"/>
    <x v="0"/>
    <n v="15"/>
    <x v="24"/>
    <x v="0"/>
    <n v="11.95"/>
    <b v="1"/>
  </r>
  <r>
    <s v="ORD-00593"/>
    <x v="113"/>
    <s v="20:55"/>
    <x v="1"/>
    <x v="1"/>
    <x v="1"/>
    <n v="2"/>
    <n v="3.1"/>
    <n v="6.2"/>
    <x v="1"/>
    <n v="25"/>
    <x v="24"/>
    <x v="0"/>
    <n v="6.2"/>
    <b v="1"/>
  </r>
  <r>
    <s v="ORD-00594"/>
    <x v="152"/>
    <s v="22:10"/>
    <x v="1"/>
    <x v="17"/>
    <x v="0"/>
    <n v="2"/>
    <n v="15.95"/>
    <n v="31.9"/>
    <x v="0"/>
    <n v="25"/>
    <x v="18"/>
    <x v="0"/>
    <n v="31.9"/>
    <b v="1"/>
  </r>
  <r>
    <s v="ORD-00595"/>
    <x v="2"/>
    <s v="14:20"/>
    <x v="0"/>
    <x v="17"/>
    <x v="0"/>
    <n v="1"/>
    <n v="15.95"/>
    <n v="15.95"/>
    <x v="1"/>
    <n v="25"/>
    <x v="10"/>
    <x v="0"/>
    <n v="15.95"/>
    <b v="1"/>
  </r>
  <r>
    <s v="ORD-00596"/>
    <x v="128"/>
    <s v="20:40"/>
    <x v="1"/>
    <x v="2"/>
    <x v="0"/>
    <n v="2"/>
    <n v="11.5"/>
    <n v="23"/>
    <x v="1"/>
    <n v="8"/>
    <x v="19"/>
    <x v="0"/>
    <n v="23"/>
    <b v="1"/>
  </r>
  <r>
    <s v="ORD-00597"/>
    <x v="67"/>
    <s v="20:05"/>
    <x v="1"/>
    <x v="9"/>
    <x v="1"/>
    <n v="2"/>
    <n v="3.75"/>
    <n v="7.5"/>
    <x v="0"/>
    <n v="21"/>
    <x v="10"/>
    <x v="0"/>
    <n v="7.5"/>
    <b v="1"/>
  </r>
  <r>
    <s v="ORD-00598"/>
    <x v="104"/>
    <s v="12:00"/>
    <x v="0"/>
    <x v="3"/>
    <x v="2"/>
    <n v="1"/>
    <n v="8.5"/>
    <n v="8.5"/>
    <x v="0"/>
    <n v="22"/>
    <x v="9"/>
    <x v="0"/>
    <n v="8.5"/>
    <b v="1"/>
  </r>
  <r>
    <s v="ORD-00599"/>
    <x v="240"/>
    <s v="11:00"/>
    <x v="0"/>
    <x v="10"/>
    <x v="0"/>
    <n v="1"/>
    <n v="11.95"/>
    <n v="11.95"/>
    <x v="0"/>
    <n v="22"/>
    <x v="20"/>
    <x v="0"/>
    <n v="11.95"/>
    <b v="1"/>
  </r>
  <r>
    <s v="ORD-00600"/>
    <x v="241"/>
    <s v="22:45"/>
    <x v="1"/>
    <x v="3"/>
    <x v="2"/>
    <n v="3"/>
    <n v="8.5"/>
    <n v="25.5"/>
    <x v="1"/>
    <n v="25"/>
    <x v="18"/>
    <x v="0"/>
    <n v="25.5"/>
    <b v="1"/>
  </r>
  <r>
    <s v="ORD-00601"/>
    <x v="138"/>
    <s v="17:30"/>
    <x v="1"/>
    <x v="4"/>
    <x v="1"/>
    <n v="1"/>
    <n v="2.8"/>
    <n v="2.8"/>
    <x v="1"/>
    <n v="9"/>
    <x v="19"/>
    <x v="0"/>
    <n v="2.8"/>
    <b v="1"/>
  </r>
  <r>
    <s v="ORD-00602"/>
    <x v="234"/>
    <s v="22:15"/>
    <x v="1"/>
    <x v="9"/>
    <x v="1"/>
    <n v="1"/>
    <n v="3.75"/>
    <n v="3.75"/>
    <x v="3"/>
    <n v="24"/>
    <x v="19"/>
    <x v="0"/>
    <n v="3.75"/>
    <b v="1"/>
  </r>
  <r>
    <s v="ORD-00603"/>
    <x v="12"/>
    <s v="20:55"/>
    <x v="1"/>
    <x v="9"/>
    <x v="1"/>
    <n v="3"/>
    <n v="3.75"/>
    <n v="11.25"/>
    <x v="1"/>
    <n v="11"/>
    <x v="5"/>
    <x v="0"/>
    <n v="11.25"/>
    <b v="1"/>
  </r>
  <r>
    <s v="ORD-00604"/>
    <x v="242"/>
    <s v="21:45"/>
    <x v="1"/>
    <x v="16"/>
    <x v="1"/>
    <n v="1"/>
    <n v="3.25"/>
    <n v="3.25"/>
    <x v="0"/>
    <n v="16"/>
    <x v="17"/>
    <x v="0"/>
    <n v="3.25"/>
    <b v="1"/>
  </r>
  <r>
    <s v="ORD-00605"/>
    <x v="176"/>
    <s v="18:55"/>
    <x v="1"/>
    <x v="19"/>
    <x v="2"/>
    <n v="4"/>
    <n v="7.95"/>
    <n v="31.8"/>
    <x v="1"/>
    <n v="26"/>
    <x v="18"/>
    <x v="0"/>
    <n v="31.8"/>
    <b v="1"/>
  </r>
  <r>
    <s v="ORD-00606"/>
    <x v="104"/>
    <s v="20:30"/>
    <x v="1"/>
    <x v="13"/>
    <x v="0"/>
    <n v="1"/>
    <n v="13.5"/>
    <n v="13.5"/>
    <x v="0"/>
    <n v="26"/>
    <x v="18"/>
    <x v="0"/>
    <n v="13.5"/>
    <b v="1"/>
  </r>
  <r>
    <s v="ORD-00607"/>
    <x v="66"/>
    <s v="22:20"/>
    <x v="1"/>
    <x v="6"/>
    <x v="2"/>
    <n v="2"/>
    <n v="5.5"/>
    <n v="11"/>
    <x v="1"/>
    <n v="25"/>
    <x v="8"/>
    <x v="0"/>
    <n v="11"/>
    <b v="1"/>
  </r>
  <r>
    <s v="ORD-00608"/>
    <x v="35"/>
    <s v="15:45"/>
    <x v="0"/>
    <x v="2"/>
    <x v="0"/>
    <n v="2"/>
    <n v="11.5"/>
    <n v="23"/>
    <x v="2"/>
    <n v="11"/>
    <x v="21"/>
    <x v="0"/>
    <n v="23"/>
    <b v="1"/>
  </r>
  <r>
    <s v="ORD-00609"/>
    <x v="139"/>
    <s v="17:50"/>
    <x v="1"/>
    <x v="8"/>
    <x v="0"/>
    <n v="1"/>
    <n v="14.5"/>
    <n v="14.5"/>
    <x v="1"/>
    <n v="29"/>
    <x v="24"/>
    <x v="0"/>
    <n v="14.5"/>
    <b v="1"/>
  </r>
  <r>
    <s v="ORD-00610"/>
    <x v="234"/>
    <s v="17:40"/>
    <x v="1"/>
    <x v="19"/>
    <x v="2"/>
    <n v="1"/>
    <n v="7.95"/>
    <n v="7.95"/>
    <x v="0"/>
    <n v="11"/>
    <x v="6"/>
    <x v="0"/>
    <n v="7.95"/>
    <b v="1"/>
  </r>
  <r>
    <s v="ORD-00611"/>
    <x v="243"/>
    <s v="13:25"/>
    <x v="0"/>
    <x v="5"/>
    <x v="0"/>
    <n v="3"/>
    <n v="12.95"/>
    <n v="38.85"/>
    <x v="0"/>
    <n v="13"/>
    <x v="20"/>
    <x v="0"/>
    <n v="38.849999999999994"/>
    <b v="1"/>
  </r>
  <r>
    <s v="ORD-00612"/>
    <x v="122"/>
    <s v="20:10"/>
    <x v="1"/>
    <x v="9"/>
    <x v="1"/>
    <n v="1"/>
    <n v="3.75"/>
    <n v="0"/>
    <x v="0"/>
    <n v="10"/>
    <x v="24"/>
    <x v="2"/>
    <n v="3.75"/>
    <b v="1"/>
  </r>
  <r>
    <s v="ORD-00613"/>
    <x v="171"/>
    <s v="19:30"/>
    <x v="1"/>
    <x v="5"/>
    <x v="0"/>
    <n v="1"/>
    <n v="12.95"/>
    <n v="12.95"/>
    <x v="1"/>
    <n v="10"/>
    <x v="9"/>
    <x v="0"/>
    <n v="12.95"/>
    <b v="1"/>
  </r>
  <r>
    <s v="ORD-00614"/>
    <x v="32"/>
    <s v="13:00"/>
    <x v="0"/>
    <x v="11"/>
    <x v="0"/>
    <n v="3"/>
    <n v="12.5"/>
    <n v="37.5"/>
    <x v="1"/>
    <n v="17"/>
    <x v="18"/>
    <x v="0"/>
    <n v="37.5"/>
    <b v="1"/>
  </r>
  <r>
    <s v="ORD-00615"/>
    <x v="169"/>
    <s v="18:15"/>
    <x v="1"/>
    <x v="14"/>
    <x v="2"/>
    <n v="3"/>
    <n v="6.25"/>
    <n v="18.75"/>
    <x v="1"/>
    <n v="11"/>
    <x v="21"/>
    <x v="0"/>
    <n v="18.75"/>
    <b v="1"/>
  </r>
  <r>
    <s v="ORD-00616"/>
    <x v="22"/>
    <s v="21:50"/>
    <x v="1"/>
    <x v="8"/>
    <x v="0"/>
    <n v="1"/>
    <n v="14.5"/>
    <n v="14.5"/>
    <x v="0"/>
    <n v="15"/>
    <x v="10"/>
    <x v="0"/>
    <n v="14.5"/>
    <b v="1"/>
  </r>
  <r>
    <s v="ORD-00617"/>
    <x v="29"/>
    <s v="13:00"/>
    <x v="0"/>
    <x v="9"/>
    <x v="1"/>
    <n v="2"/>
    <n v="3.75"/>
    <n v="7.5"/>
    <x v="2"/>
    <n v="17"/>
    <x v="4"/>
    <x v="0"/>
    <n v="7.5"/>
    <b v="1"/>
  </r>
  <r>
    <s v="ORD-00618"/>
    <x v="244"/>
    <s v="13:50"/>
    <x v="0"/>
    <x v="11"/>
    <x v="0"/>
    <n v="1"/>
    <n v="12.5"/>
    <n v="12.5"/>
    <x v="1"/>
    <n v="10"/>
    <x v="10"/>
    <x v="0"/>
    <n v="12.5"/>
    <b v="1"/>
  </r>
  <r>
    <s v="ORD-00619"/>
    <x v="52"/>
    <s v="22:05"/>
    <x v="1"/>
    <x v="6"/>
    <x v="2"/>
    <n v="1"/>
    <n v="5.5"/>
    <n v="5.5"/>
    <x v="0"/>
    <n v="18"/>
    <x v="28"/>
    <x v="0"/>
    <n v="5.5"/>
    <b v="1"/>
  </r>
  <r>
    <s v="ORD-00620"/>
    <x v="203"/>
    <s v="21:25"/>
    <x v="1"/>
    <x v="6"/>
    <x v="2"/>
    <n v="1"/>
    <n v="5.5"/>
    <n v="5.5"/>
    <x v="1"/>
    <n v="26"/>
    <x v="25"/>
    <x v="0"/>
    <n v="5.5"/>
    <b v="1"/>
  </r>
  <r>
    <s v="ORD-00621"/>
    <x v="7"/>
    <s v="13:45"/>
    <x v="0"/>
    <x v="14"/>
    <x v="2"/>
    <n v="1"/>
    <n v="6.25"/>
    <n v="6.25"/>
    <x v="1"/>
    <n v="22"/>
    <x v="17"/>
    <x v="0"/>
    <n v="6.25"/>
    <b v="1"/>
  </r>
  <r>
    <s v="ORD-00622"/>
    <x v="208"/>
    <s v="14:30"/>
    <x v="0"/>
    <x v="17"/>
    <x v="0"/>
    <n v="2"/>
    <n v="15.95"/>
    <n v="31.9"/>
    <x v="2"/>
    <n v="21"/>
    <x v="17"/>
    <x v="0"/>
    <n v="31.9"/>
    <b v="1"/>
  </r>
  <r>
    <s v="ORD-00623"/>
    <x v="155"/>
    <s v="19:25"/>
    <x v="1"/>
    <x v="11"/>
    <x v="0"/>
    <n v="2"/>
    <n v="12.5"/>
    <n v="25"/>
    <x v="2"/>
    <n v="30"/>
    <x v="17"/>
    <x v="0"/>
    <n v="25"/>
    <b v="1"/>
  </r>
  <r>
    <s v="ORD-00624"/>
    <x v="245"/>
    <s v="17:55"/>
    <x v="1"/>
    <x v="15"/>
    <x v="3"/>
    <n v="1"/>
    <n v="5.75"/>
    <n v="5.75"/>
    <x v="0"/>
    <n v="22"/>
    <x v="8"/>
    <x v="0"/>
    <n v="5.75"/>
    <b v="1"/>
  </r>
  <r>
    <s v="ORD-00625"/>
    <x v="245"/>
    <s v="18:10"/>
    <x v="1"/>
    <x v="9"/>
    <x v="1"/>
    <n v="1"/>
    <n v="3.75"/>
    <n v="3.75"/>
    <x v="1"/>
    <n v="22"/>
    <x v="11"/>
    <x v="0"/>
    <n v="3.75"/>
    <b v="1"/>
  </r>
  <r>
    <s v="ORD-00626"/>
    <x v="108"/>
    <s v="17:05"/>
    <x v="1"/>
    <x v="16"/>
    <x v="1"/>
    <n v="1"/>
    <n v="3.25"/>
    <n v="3.25"/>
    <x v="2"/>
    <n v="15"/>
    <x v="20"/>
    <x v="0"/>
    <n v="3.25"/>
    <b v="1"/>
  </r>
  <r>
    <s v="ORD-00627"/>
    <x v="124"/>
    <s v="21:45"/>
    <x v="1"/>
    <x v="8"/>
    <x v="0"/>
    <n v="1"/>
    <n v="14.5"/>
    <n v="14.5"/>
    <x v="0"/>
    <n v="11"/>
    <x v="18"/>
    <x v="0"/>
    <n v="14.5"/>
    <b v="1"/>
  </r>
  <r>
    <s v="ORD-00628"/>
    <x v="19"/>
    <s v="21:35"/>
    <x v="1"/>
    <x v="7"/>
    <x v="3"/>
    <n v="2"/>
    <n v="6.95"/>
    <n v="13.9"/>
    <x v="1"/>
    <n v="20"/>
    <x v="0"/>
    <x v="0"/>
    <n v="13.9"/>
    <b v="1"/>
  </r>
  <r>
    <s v="ORD-00629"/>
    <x v="117"/>
    <s v="20:05"/>
    <x v="1"/>
    <x v="14"/>
    <x v="2"/>
    <n v="1"/>
    <n v="6.25"/>
    <n v="6.25"/>
    <x v="0"/>
    <n v="14"/>
    <x v="5"/>
    <x v="0"/>
    <n v="6.25"/>
    <b v="1"/>
  </r>
  <r>
    <s v="ORD-00630"/>
    <x v="189"/>
    <s v="18:10"/>
    <x v="1"/>
    <x v="5"/>
    <x v="0"/>
    <n v="2"/>
    <n v="12.95"/>
    <n v="25.9"/>
    <x v="2"/>
    <n v="19"/>
    <x v="2"/>
    <x v="0"/>
    <n v="25.9"/>
    <b v="1"/>
  </r>
  <r>
    <s v="ORD-00631"/>
    <x v="59"/>
    <s v="20:25"/>
    <x v="1"/>
    <x v="4"/>
    <x v="1"/>
    <n v="1"/>
    <n v="2.8"/>
    <n v="2.8"/>
    <x v="0"/>
    <n v="3"/>
    <x v="19"/>
    <x v="0"/>
    <n v="2.8"/>
    <b v="1"/>
  </r>
  <r>
    <s v="ORD-00632"/>
    <x v="57"/>
    <s v="11:05"/>
    <x v="0"/>
    <x v="11"/>
    <x v="0"/>
    <n v="2"/>
    <n v="12.5"/>
    <n v="25"/>
    <x v="2"/>
    <n v="29"/>
    <x v="25"/>
    <x v="0"/>
    <n v="25"/>
    <b v="1"/>
  </r>
  <r>
    <s v="ORD-00633"/>
    <x v="15"/>
    <s v="22:10"/>
    <x v="1"/>
    <x v="15"/>
    <x v="3"/>
    <n v="1"/>
    <n v="5.75"/>
    <n v="5.75"/>
    <x v="0"/>
    <n v="7"/>
    <x v="7"/>
    <x v="0"/>
    <n v="5.75"/>
    <b v="1"/>
  </r>
  <r>
    <s v="ORD-00634"/>
    <x v="246"/>
    <s v="13:30"/>
    <x v="0"/>
    <x v="3"/>
    <x v="2"/>
    <n v="4"/>
    <n v="8.5"/>
    <n v="34"/>
    <x v="0"/>
    <n v="1"/>
    <x v="5"/>
    <x v="0"/>
    <n v="34"/>
    <b v="1"/>
  </r>
  <r>
    <s v="ORD-00635"/>
    <x v="157"/>
    <s v="18:20"/>
    <x v="1"/>
    <x v="13"/>
    <x v="0"/>
    <n v="1"/>
    <n v="13.5"/>
    <n v="13.5"/>
    <x v="2"/>
    <n v="18"/>
    <x v="17"/>
    <x v="0"/>
    <n v="13.5"/>
    <b v="1"/>
  </r>
  <r>
    <s v="ORD-00636"/>
    <x v="103"/>
    <s v="13:00"/>
    <x v="0"/>
    <x v="0"/>
    <x v="0"/>
    <n v="1"/>
    <n v="9.9499999999999993"/>
    <n v="9.9499999999999993"/>
    <x v="0"/>
    <n v="13"/>
    <x v="7"/>
    <x v="0"/>
    <n v="9.9499999999999993"/>
    <b v="1"/>
  </r>
  <r>
    <s v="ORD-00637"/>
    <x v="219"/>
    <s v="20:40"/>
    <x v="1"/>
    <x v="11"/>
    <x v="0"/>
    <n v="2"/>
    <n v="12.5"/>
    <n v="25"/>
    <x v="3"/>
    <n v="27"/>
    <x v="18"/>
    <x v="0"/>
    <n v="25"/>
    <b v="1"/>
  </r>
  <r>
    <s v="ORD-00638"/>
    <x v="73"/>
    <s v="12:10"/>
    <x v="0"/>
    <x v="2"/>
    <x v="0"/>
    <n v="1"/>
    <n v="11.5"/>
    <n v="11.5"/>
    <x v="0"/>
    <n v="5"/>
    <x v="13"/>
    <x v="0"/>
    <n v="11.5"/>
    <b v="1"/>
  </r>
  <r>
    <s v="ORD-00639"/>
    <x v="26"/>
    <s v="18:05"/>
    <x v="1"/>
    <x v="8"/>
    <x v="0"/>
    <n v="2"/>
    <n v="14.5"/>
    <n v="29"/>
    <x v="0"/>
    <n v="23"/>
    <x v="15"/>
    <x v="0"/>
    <n v="29"/>
    <b v="1"/>
  </r>
  <r>
    <s v="ORD-00640"/>
    <x v="114"/>
    <s v="20:40"/>
    <x v="1"/>
    <x v="12"/>
    <x v="3"/>
    <n v="1"/>
    <n v="7.25"/>
    <n v="7.25"/>
    <x v="0"/>
    <n v="13"/>
    <x v="0"/>
    <x v="0"/>
    <n v="7.25"/>
    <b v="1"/>
  </r>
  <r>
    <s v="ORD-00641"/>
    <x v="205"/>
    <s v="17:45"/>
    <x v="1"/>
    <x v="16"/>
    <x v="1"/>
    <n v="2"/>
    <n v="3.25"/>
    <n v="6.5"/>
    <x v="0"/>
    <n v="30"/>
    <x v="5"/>
    <x v="0"/>
    <n v="6.5"/>
    <b v="1"/>
  </r>
  <r>
    <s v="ORD-00642"/>
    <x v="99"/>
    <s v="11:45"/>
    <x v="0"/>
    <x v="16"/>
    <x v="1"/>
    <n v="2"/>
    <n v="3.25"/>
    <n v="6.5"/>
    <x v="0"/>
    <n v="19"/>
    <x v="3"/>
    <x v="0"/>
    <n v="6.5"/>
    <b v="1"/>
  </r>
  <r>
    <s v="ORD-00643"/>
    <x v="16"/>
    <s v="15:20"/>
    <x v="0"/>
    <x v="15"/>
    <x v="3"/>
    <n v="1"/>
    <n v="5.75"/>
    <n v="5.75"/>
    <x v="0"/>
    <n v="16"/>
    <x v="8"/>
    <x v="0"/>
    <n v="5.75"/>
    <b v="1"/>
  </r>
  <r>
    <s v="ORD-00644"/>
    <x v="220"/>
    <s v="21:45"/>
    <x v="1"/>
    <x v="19"/>
    <x v="2"/>
    <n v="2"/>
    <n v="7.95"/>
    <n v="15.9"/>
    <x v="2"/>
    <n v="18"/>
    <x v="20"/>
    <x v="0"/>
    <n v="15.9"/>
    <b v="1"/>
  </r>
  <r>
    <s v="ORD-00645"/>
    <x v="76"/>
    <s v="20:45"/>
    <x v="1"/>
    <x v="14"/>
    <x v="2"/>
    <n v="1"/>
    <n v="6.25"/>
    <n v="6.25"/>
    <x v="0"/>
    <n v="30"/>
    <x v="19"/>
    <x v="0"/>
    <n v="6.25"/>
    <b v="1"/>
  </r>
  <r>
    <s v="ORD-00646"/>
    <x v="247"/>
    <s v="21:20"/>
    <x v="1"/>
    <x v="13"/>
    <x v="0"/>
    <n v="2"/>
    <n v="13.5"/>
    <n v="27"/>
    <x v="0"/>
    <n v="6"/>
    <x v="13"/>
    <x v="0"/>
    <n v="27"/>
    <b v="1"/>
  </r>
  <r>
    <s v="ORD-00647"/>
    <x v="215"/>
    <s v="21:00"/>
    <x v="1"/>
    <x v="19"/>
    <x v="2"/>
    <n v="1"/>
    <n v="7.95"/>
    <n v="7.95"/>
    <x v="1"/>
    <n v="9"/>
    <x v="24"/>
    <x v="0"/>
    <n v="7.95"/>
    <b v="1"/>
  </r>
  <r>
    <s v="ORD-00648"/>
    <x v="146"/>
    <s v="13:00"/>
    <x v="0"/>
    <x v="10"/>
    <x v="0"/>
    <n v="2"/>
    <n v="11.95"/>
    <n v="23.9"/>
    <x v="1"/>
    <n v="24"/>
    <x v="7"/>
    <x v="0"/>
    <n v="23.9"/>
    <b v="1"/>
  </r>
  <r>
    <s v="ORD-00649"/>
    <x v="155"/>
    <s v="12:20"/>
    <x v="0"/>
    <x v="0"/>
    <x v="0"/>
    <n v="1"/>
    <n v="9.9499999999999993"/>
    <n v="9.9499999999999993"/>
    <x v="3"/>
    <n v="3"/>
    <x v="19"/>
    <x v="0"/>
    <n v="9.9499999999999993"/>
    <b v="1"/>
  </r>
  <r>
    <s v="ORD-00650"/>
    <x v="11"/>
    <s v="20:30"/>
    <x v="1"/>
    <x v="0"/>
    <x v="0"/>
    <n v="2"/>
    <n v="9.9499999999999993"/>
    <n v="19.899999999999999"/>
    <x v="1"/>
    <n v="21"/>
    <x v="7"/>
    <x v="0"/>
    <n v="19.899999999999999"/>
    <b v="1"/>
  </r>
  <r>
    <s v="ORD-00651"/>
    <x v="94"/>
    <s v="13:05"/>
    <x v="0"/>
    <x v="13"/>
    <x v="0"/>
    <n v="1"/>
    <n v="13.5"/>
    <n v="13.5"/>
    <x v="3"/>
    <n v="25"/>
    <x v="22"/>
    <x v="0"/>
    <n v="13.5"/>
    <b v="1"/>
  </r>
  <r>
    <s v="ORD-00652"/>
    <x v="161"/>
    <s v="14:35"/>
    <x v="0"/>
    <x v="6"/>
    <x v="2"/>
    <n v="1"/>
    <n v="5.5"/>
    <n v="5.5"/>
    <x v="1"/>
    <n v="1"/>
    <x v="8"/>
    <x v="0"/>
    <n v="5.5"/>
    <b v="1"/>
  </r>
  <r>
    <s v="ORD-00653"/>
    <x v="123"/>
    <s v="19:40"/>
    <x v="1"/>
    <x v="13"/>
    <x v="0"/>
    <n v="1"/>
    <n v="13.5"/>
    <n v="13.5"/>
    <x v="0"/>
    <n v="14"/>
    <x v="0"/>
    <x v="0"/>
    <n v="13.5"/>
    <b v="1"/>
  </r>
  <r>
    <s v="ORD-00654"/>
    <x v="231"/>
    <s v="13:05"/>
    <x v="0"/>
    <x v="6"/>
    <x v="2"/>
    <n v="2"/>
    <n v="5.5"/>
    <n v="11"/>
    <x v="2"/>
    <n v="15"/>
    <x v="11"/>
    <x v="0"/>
    <n v="11"/>
    <b v="1"/>
  </r>
  <r>
    <s v="ORD-00655"/>
    <x v="144"/>
    <s v="21:15"/>
    <x v="1"/>
    <x v="1"/>
    <x v="1"/>
    <n v="1"/>
    <n v="3.1"/>
    <n v="3.1"/>
    <x v="0"/>
    <n v="1"/>
    <x v="20"/>
    <x v="0"/>
    <n v="3.1"/>
    <b v="1"/>
  </r>
  <r>
    <s v="ORD-00656"/>
    <x v="28"/>
    <s v="11:40"/>
    <x v="0"/>
    <x v="10"/>
    <x v="0"/>
    <n v="2"/>
    <n v="11.95"/>
    <n v="23.9"/>
    <x v="0"/>
    <n v="8"/>
    <x v="7"/>
    <x v="0"/>
    <n v="23.9"/>
    <b v="1"/>
  </r>
  <r>
    <s v="ORD-00657"/>
    <x v="68"/>
    <s v="11:45"/>
    <x v="0"/>
    <x v="5"/>
    <x v="0"/>
    <n v="1"/>
    <n v="12.95"/>
    <n v="12.95"/>
    <x v="0"/>
    <n v="20"/>
    <x v="22"/>
    <x v="0"/>
    <n v="12.95"/>
    <b v="1"/>
  </r>
  <r>
    <s v="ORD-00658"/>
    <x v="248"/>
    <s v="15:10"/>
    <x v="0"/>
    <x v="7"/>
    <x v="3"/>
    <n v="2"/>
    <n v="6.95"/>
    <n v="13.9"/>
    <x v="2"/>
    <n v="19"/>
    <x v="16"/>
    <x v="0"/>
    <n v="13.9"/>
    <b v="1"/>
  </r>
  <r>
    <s v="ORD-00659"/>
    <x v="249"/>
    <s v="22:10"/>
    <x v="1"/>
    <x v="6"/>
    <x v="2"/>
    <n v="1"/>
    <n v="5.5"/>
    <n v="5.5"/>
    <x v="3"/>
    <n v="30"/>
    <x v="12"/>
    <x v="0"/>
    <n v="5.5"/>
    <b v="1"/>
  </r>
  <r>
    <s v="ORD-00660"/>
    <x v="182"/>
    <s v="22:25"/>
    <x v="1"/>
    <x v="6"/>
    <x v="2"/>
    <n v="1"/>
    <n v="5.5"/>
    <n v="5.5"/>
    <x v="2"/>
    <n v="9"/>
    <x v="10"/>
    <x v="0"/>
    <n v="5.5"/>
    <b v="1"/>
  </r>
  <r>
    <s v="ORD-00661"/>
    <x v="219"/>
    <s v="17:20"/>
    <x v="1"/>
    <x v="6"/>
    <x v="2"/>
    <n v="1"/>
    <n v="5.5"/>
    <n v="5.5"/>
    <x v="0"/>
    <n v="20"/>
    <x v="16"/>
    <x v="0"/>
    <n v="5.5"/>
    <b v="1"/>
  </r>
  <r>
    <s v="ORD-00662"/>
    <x v="136"/>
    <s v="15:30"/>
    <x v="0"/>
    <x v="11"/>
    <x v="0"/>
    <n v="2"/>
    <n v="12.5"/>
    <n v="25"/>
    <x v="0"/>
    <n v="30"/>
    <x v="10"/>
    <x v="0"/>
    <n v="25"/>
    <b v="1"/>
  </r>
  <r>
    <s v="ORD-00663"/>
    <x v="207"/>
    <s v="11:05"/>
    <x v="0"/>
    <x v="18"/>
    <x v="1"/>
    <n v="2"/>
    <n v="6.5"/>
    <n v="-13"/>
    <x v="0"/>
    <n v="5"/>
    <x v="1"/>
    <x v="1"/>
    <n v="13"/>
    <b v="1"/>
  </r>
  <r>
    <s v="ORD-00664"/>
    <x v="15"/>
    <s v="22:30"/>
    <x v="1"/>
    <x v="6"/>
    <x v="2"/>
    <n v="1"/>
    <n v="5.5"/>
    <n v="5.5"/>
    <x v="0"/>
    <n v="29"/>
    <x v="18"/>
    <x v="0"/>
    <n v="5.5"/>
    <b v="1"/>
  </r>
  <r>
    <s v="ORD-00665"/>
    <x v="250"/>
    <s v="20:35"/>
    <x v="1"/>
    <x v="12"/>
    <x v="3"/>
    <n v="1"/>
    <n v="7.25"/>
    <n v="7.25"/>
    <x v="1"/>
    <n v="18"/>
    <x v="6"/>
    <x v="0"/>
    <n v="7.25"/>
    <b v="1"/>
  </r>
  <r>
    <s v="ORD-00666"/>
    <x v="208"/>
    <s v="20:05"/>
    <x v="1"/>
    <x v="18"/>
    <x v="1"/>
    <n v="1"/>
    <n v="6.5"/>
    <n v="6.5"/>
    <x v="0"/>
    <n v="11"/>
    <x v="1"/>
    <x v="0"/>
    <n v="6.5"/>
    <b v="1"/>
  </r>
  <r>
    <s v="ORD-00667"/>
    <x v="81"/>
    <s v="11:25"/>
    <x v="0"/>
    <x v="4"/>
    <x v="1"/>
    <n v="2"/>
    <n v="2.8"/>
    <n v="5.6"/>
    <x v="1"/>
    <n v="25"/>
    <x v="2"/>
    <x v="0"/>
    <n v="5.6"/>
    <b v="1"/>
  </r>
  <r>
    <s v="ORD-00668"/>
    <x v="251"/>
    <s v="11:30"/>
    <x v="0"/>
    <x v="11"/>
    <x v="0"/>
    <n v="1"/>
    <n v="12.5"/>
    <n v="12.5"/>
    <x v="1"/>
    <n v="29"/>
    <x v="19"/>
    <x v="0"/>
    <n v="12.5"/>
    <b v="1"/>
  </r>
  <r>
    <s v="ORD-00669"/>
    <x v="103"/>
    <s v="22:35"/>
    <x v="1"/>
    <x v="11"/>
    <x v="0"/>
    <n v="1"/>
    <n v="12.5"/>
    <n v="12.5"/>
    <x v="0"/>
    <n v="8"/>
    <x v="33"/>
    <x v="0"/>
    <n v="12.5"/>
    <b v="1"/>
  </r>
  <r>
    <s v="ORD-00670"/>
    <x v="53"/>
    <s v="22:20"/>
    <x v="1"/>
    <x v="16"/>
    <x v="1"/>
    <n v="1"/>
    <n v="3.25"/>
    <n v="3.25"/>
    <x v="1"/>
    <n v="1"/>
    <x v="10"/>
    <x v="0"/>
    <n v="3.25"/>
    <b v="1"/>
  </r>
  <r>
    <s v="ORD-00671"/>
    <x v="8"/>
    <s v="11:30"/>
    <x v="0"/>
    <x v="10"/>
    <x v="0"/>
    <n v="1"/>
    <n v="11.95"/>
    <n v="11.95"/>
    <x v="3"/>
    <n v="22"/>
    <x v="9"/>
    <x v="0"/>
    <n v="11.95"/>
    <b v="1"/>
  </r>
  <r>
    <s v="ORD-00672"/>
    <x v="119"/>
    <s v="18:05"/>
    <x v="1"/>
    <x v="13"/>
    <x v="0"/>
    <n v="2"/>
    <n v="13.5"/>
    <n v="27"/>
    <x v="1"/>
    <n v="21"/>
    <x v="2"/>
    <x v="0"/>
    <n v="27"/>
    <b v="1"/>
  </r>
  <r>
    <s v="ORD-00673"/>
    <x v="197"/>
    <s v="12:00"/>
    <x v="0"/>
    <x v="17"/>
    <x v="0"/>
    <n v="2"/>
    <n v="15.95"/>
    <n v="31.9"/>
    <x v="1"/>
    <n v="20"/>
    <x v="8"/>
    <x v="0"/>
    <n v="31.9"/>
    <b v="1"/>
  </r>
  <r>
    <s v="ORD-00674"/>
    <x v="53"/>
    <s v="17:05"/>
    <x v="1"/>
    <x v="16"/>
    <x v="1"/>
    <n v="2"/>
    <n v="3.25"/>
    <n v="6.5"/>
    <x v="1"/>
    <n v="8"/>
    <x v="0"/>
    <x v="0"/>
    <n v="6.5"/>
    <b v="1"/>
  </r>
  <r>
    <s v="ORD-00675"/>
    <x v="251"/>
    <s v="22:50"/>
    <x v="1"/>
    <x v="7"/>
    <x v="3"/>
    <n v="1"/>
    <n v="6.95"/>
    <n v="6.95"/>
    <x v="3"/>
    <n v="27"/>
    <x v="8"/>
    <x v="0"/>
    <n v="6.95"/>
    <b v="1"/>
  </r>
  <r>
    <s v="ORD-00676"/>
    <x v="218"/>
    <s v="21:10"/>
    <x v="1"/>
    <x v="14"/>
    <x v="2"/>
    <n v="1"/>
    <n v="6.25"/>
    <n v="6.25"/>
    <x v="2"/>
    <n v="5"/>
    <x v="20"/>
    <x v="0"/>
    <n v="6.25"/>
    <b v="1"/>
  </r>
  <r>
    <s v="ORD-00677"/>
    <x v="140"/>
    <s v="21:10"/>
    <x v="1"/>
    <x v="15"/>
    <x v="3"/>
    <n v="1"/>
    <n v="5.75"/>
    <n v="5.75"/>
    <x v="0"/>
    <n v="28"/>
    <x v="6"/>
    <x v="0"/>
    <n v="5.75"/>
    <b v="1"/>
  </r>
  <r>
    <s v="ORD-00678"/>
    <x v="252"/>
    <s v="17:35"/>
    <x v="1"/>
    <x v="5"/>
    <x v="0"/>
    <n v="1"/>
    <n v="12.95"/>
    <n v="12.95"/>
    <x v="1"/>
    <n v="30"/>
    <x v="17"/>
    <x v="0"/>
    <n v="12.95"/>
    <b v="1"/>
  </r>
  <r>
    <s v="ORD-00679"/>
    <x v="71"/>
    <s v="20:55"/>
    <x v="1"/>
    <x v="8"/>
    <x v="0"/>
    <n v="1"/>
    <n v="14.5"/>
    <n v="14.5"/>
    <x v="3"/>
    <n v="8"/>
    <x v="19"/>
    <x v="0"/>
    <n v="14.5"/>
    <b v="1"/>
  </r>
  <r>
    <s v="ORD-00680"/>
    <x v="40"/>
    <s v="22:35"/>
    <x v="1"/>
    <x v="9"/>
    <x v="1"/>
    <n v="3"/>
    <n v="3.75"/>
    <n v="11.25"/>
    <x v="2"/>
    <n v="27"/>
    <x v="19"/>
    <x v="0"/>
    <n v="11.25"/>
    <b v="1"/>
  </r>
  <r>
    <s v="ORD-00681"/>
    <x v="126"/>
    <s v="21:15"/>
    <x v="1"/>
    <x v="11"/>
    <x v="0"/>
    <n v="1"/>
    <n v="12.5"/>
    <n v="12.5"/>
    <x v="2"/>
    <n v="28"/>
    <x v="15"/>
    <x v="0"/>
    <n v="12.5"/>
    <b v="1"/>
  </r>
  <r>
    <s v="ORD-00682"/>
    <x v="130"/>
    <s v="12:20"/>
    <x v="0"/>
    <x v="13"/>
    <x v="0"/>
    <n v="1"/>
    <n v="13.5"/>
    <n v="13.5"/>
    <x v="2"/>
    <n v="22"/>
    <x v="2"/>
    <x v="0"/>
    <n v="13.5"/>
    <b v="1"/>
  </r>
  <r>
    <s v="ORD-00683"/>
    <x v="46"/>
    <s v="18:50"/>
    <x v="1"/>
    <x v="13"/>
    <x v="0"/>
    <n v="1"/>
    <n v="13.5"/>
    <n v="13.5"/>
    <x v="0"/>
    <n v="11"/>
    <x v="20"/>
    <x v="0"/>
    <n v="13.5"/>
    <b v="1"/>
  </r>
  <r>
    <s v="ORD-00684"/>
    <x v="194"/>
    <s v="11:40"/>
    <x v="0"/>
    <x v="17"/>
    <x v="0"/>
    <n v="1"/>
    <n v="15.95"/>
    <n v="15.95"/>
    <x v="0"/>
    <n v="16"/>
    <x v="6"/>
    <x v="0"/>
    <n v="15.95"/>
    <b v="1"/>
  </r>
  <r>
    <s v="ORD-00685"/>
    <x v="19"/>
    <s v="22:35"/>
    <x v="1"/>
    <x v="18"/>
    <x v="1"/>
    <n v="1"/>
    <n v="6.5"/>
    <n v="6.5"/>
    <x v="1"/>
    <n v="11"/>
    <x v="7"/>
    <x v="0"/>
    <n v="6.5"/>
    <b v="1"/>
  </r>
  <r>
    <s v="ORD-00686"/>
    <x v="253"/>
    <s v="11:15"/>
    <x v="0"/>
    <x v="12"/>
    <x v="3"/>
    <n v="2"/>
    <n v="7.25"/>
    <n v="14.5"/>
    <x v="1"/>
    <n v="29"/>
    <x v="18"/>
    <x v="0"/>
    <n v="14.5"/>
    <b v="1"/>
  </r>
  <r>
    <s v="ORD-00687"/>
    <x v="156"/>
    <s v="17:30"/>
    <x v="1"/>
    <x v="8"/>
    <x v="0"/>
    <n v="1"/>
    <n v="14.5"/>
    <n v="14.5"/>
    <x v="0"/>
    <n v="5"/>
    <x v="2"/>
    <x v="0"/>
    <n v="14.5"/>
    <b v="1"/>
  </r>
  <r>
    <s v="ORD-00688"/>
    <x v="115"/>
    <s v="19:15"/>
    <x v="1"/>
    <x v="14"/>
    <x v="2"/>
    <n v="1"/>
    <n v="6.25"/>
    <n v="6.25"/>
    <x v="1"/>
    <n v="19"/>
    <x v="13"/>
    <x v="0"/>
    <n v="6.25"/>
    <b v="1"/>
  </r>
  <r>
    <s v="ORD-00689"/>
    <x v="237"/>
    <s v="14:35"/>
    <x v="0"/>
    <x v="12"/>
    <x v="3"/>
    <n v="1"/>
    <n v="7.25"/>
    <n v="7.25"/>
    <x v="2"/>
    <n v="6"/>
    <x v="10"/>
    <x v="0"/>
    <n v="7.25"/>
    <b v="1"/>
  </r>
  <r>
    <s v="ORD-00690"/>
    <x v="93"/>
    <s v="21:15"/>
    <x v="1"/>
    <x v="5"/>
    <x v="0"/>
    <n v="1"/>
    <n v="12.95"/>
    <n v="12.95"/>
    <x v="3"/>
    <n v="16"/>
    <x v="18"/>
    <x v="0"/>
    <n v="12.95"/>
    <b v="1"/>
  </r>
  <r>
    <s v="ORD-00691"/>
    <x v="109"/>
    <s v="20:20"/>
    <x v="1"/>
    <x v="2"/>
    <x v="0"/>
    <n v="2"/>
    <n v="11.5"/>
    <n v="0"/>
    <x v="0"/>
    <n v="14"/>
    <x v="21"/>
    <x v="2"/>
    <n v="23"/>
    <b v="1"/>
  </r>
  <r>
    <s v="ORD-00692"/>
    <x v="119"/>
    <s v="17:30"/>
    <x v="1"/>
    <x v="13"/>
    <x v="0"/>
    <n v="1"/>
    <n v="13.5"/>
    <n v="13.5"/>
    <x v="2"/>
    <n v="24"/>
    <x v="10"/>
    <x v="0"/>
    <n v="13.5"/>
    <b v="1"/>
  </r>
  <r>
    <s v="ORD-00693"/>
    <x v="206"/>
    <s v="20:35"/>
    <x v="1"/>
    <x v="10"/>
    <x v="0"/>
    <n v="1"/>
    <n v="11.95"/>
    <n v="11.95"/>
    <x v="0"/>
    <n v="23"/>
    <x v="15"/>
    <x v="0"/>
    <n v="11.95"/>
    <b v="1"/>
  </r>
  <r>
    <s v="ORD-00694"/>
    <x v="166"/>
    <s v="13:15"/>
    <x v="0"/>
    <x v="5"/>
    <x v="0"/>
    <n v="1"/>
    <n v="12.95"/>
    <n v="12.95"/>
    <x v="1"/>
    <n v="10"/>
    <x v="13"/>
    <x v="0"/>
    <n v="12.95"/>
    <b v="1"/>
  </r>
  <r>
    <s v="ORD-00695"/>
    <x v="4"/>
    <s v="22:45"/>
    <x v="1"/>
    <x v="2"/>
    <x v="0"/>
    <n v="4"/>
    <n v="11.5"/>
    <n v="46"/>
    <x v="1"/>
    <n v="13"/>
    <x v="13"/>
    <x v="0"/>
    <n v="46"/>
    <b v="1"/>
  </r>
  <r>
    <s v="ORD-00696"/>
    <x v="102"/>
    <s v="22:50"/>
    <x v="1"/>
    <x v="2"/>
    <x v="0"/>
    <n v="2"/>
    <n v="11.5"/>
    <n v="23"/>
    <x v="3"/>
    <n v="13"/>
    <x v="4"/>
    <x v="0"/>
    <n v="23"/>
    <b v="1"/>
  </r>
  <r>
    <s v="ORD-00697"/>
    <x v="35"/>
    <s v="19:30"/>
    <x v="1"/>
    <x v="6"/>
    <x v="2"/>
    <n v="2"/>
    <n v="5.5"/>
    <n v="11"/>
    <x v="0"/>
    <n v="26"/>
    <x v="22"/>
    <x v="0"/>
    <n v="11"/>
    <b v="1"/>
  </r>
  <r>
    <s v="ORD-00698"/>
    <x v="152"/>
    <s v="17:40"/>
    <x v="1"/>
    <x v="3"/>
    <x v="2"/>
    <n v="3"/>
    <n v="8.5"/>
    <n v="25.5"/>
    <x v="0"/>
    <n v="13"/>
    <x v="8"/>
    <x v="0"/>
    <n v="25.5"/>
    <b v="1"/>
  </r>
  <r>
    <s v="ORD-00699"/>
    <x v="37"/>
    <s v="12:50"/>
    <x v="0"/>
    <x v="4"/>
    <x v="1"/>
    <n v="2"/>
    <n v="2.8"/>
    <n v="5.6"/>
    <x v="1"/>
    <n v="11"/>
    <x v="4"/>
    <x v="0"/>
    <n v="5.6"/>
    <b v="1"/>
  </r>
  <r>
    <s v="ORD-00700"/>
    <x v="59"/>
    <s v="22:45"/>
    <x v="1"/>
    <x v="11"/>
    <x v="0"/>
    <n v="2"/>
    <n v="12.5"/>
    <n v="-25"/>
    <x v="1"/>
    <n v="8"/>
    <x v="10"/>
    <x v="1"/>
    <n v="25"/>
    <b v="1"/>
  </r>
  <r>
    <s v="ORD-00701"/>
    <x v="254"/>
    <s v="20:20"/>
    <x v="1"/>
    <x v="13"/>
    <x v="0"/>
    <n v="1"/>
    <n v="13.5"/>
    <n v="13.5"/>
    <x v="1"/>
    <n v="27"/>
    <x v="14"/>
    <x v="0"/>
    <n v="13.5"/>
    <b v="1"/>
  </r>
  <r>
    <s v="ORD-00702"/>
    <x v="235"/>
    <s v="21:20"/>
    <x v="1"/>
    <x v="15"/>
    <x v="3"/>
    <n v="2"/>
    <n v="5.75"/>
    <n v="11.5"/>
    <x v="2"/>
    <n v="23"/>
    <x v="6"/>
    <x v="0"/>
    <n v="11.5"/>
    <b v="1"/>
  </r>
  <r>
    <s v="ORD-00703"/>
    <x v="72"/>
    <s v="14:05"/>
    <x v="0"/>
    <x v="5"/>
    <x v="0"/>
    <n v="1"/>
    <n v="12.95"/>
    <n v="12.95"/>
    <x v="1"/>
    <n v="4"/>
    <x v="9"/>
    <x v="0"/>
    <n v="12.95"/>
    <b v="1"/>
  </r>
  <r>
    <s v="ORD-00704"/>
    <x v="0"/>
    <s v="20:10"/>
    <x v="1"/>
    <x v="11"/>
    <x v="0"/>
    <n v="1"/>
    <n v="12.5"/>
    <n v="12.5"/>
    <x v="1"/>
    <n v="1"/>
    <x v="31"/>
    <x v="0"/>
    <n v="12.5"/>
    <b v="1"/>
  </r>
  <r>
    <s v="ORD-00705"/>
    <x v="31"/>
    <s v="20:35"/>
    <x v="1"/>
    <x v="2"/>
    <x v="0"/>
    <n v="1"/>
    <n v="11.5"/>
    <n v="11.5"/>
    <x v="3"/>
    <n v="27"/>
    <x v="26"/>
    <x v="0"/>
    <n v="11.5"/>
    <b v="1"/>
  </r>
  <r>
    <s v="ORD-00706"/>
    <x v="152"/>
    <s v="19:50"/>
    <x v="1"/>
    <x v="14"/>
    <x v="2"/>
    <n v="1"/>
    <n v="6.25"/>
    <n v="6.25"/>
    <x v="0"/>
    <n v="23"/>
    <x v="13"/>
    <x v="0"/>
    <n v="6.25"/>
    <b v="1"/>
  </r>
  <r>
    <s v="ORD-00707"/>
    <x v="229"/>
    <s v="21:10"/>
    <x v="1"/>
    <x v="19"/>
    <x v="2"/>
    <n v="1"/>
    <n v="7.95"/>
    <n v="7.95"/>
    <x v="2"/>
    <n v="10"/>
    <x v="17"/>
    <x v="0"/>
    <n v="7.95"/>
    <b v="1"/>
  </r>
  <r>
    <s v="ORD-00708"/>
    <x v="228"/>
    <s v="13:35"/>
    <x v="0"/>
    <x v="17"/>
    <x v="0"/>
    <n v="2"/>
    <n v="15.95"/>
    <n v="31.9"/>
    <x v="0"/>
    <n v="23"/>
    <x v="13"/>
    <x v="0"/>
    <n v="31.9"/>
    <b v="1"/>
  </r>
  <r>
    <s v="ORD-00709"/>
    <x v="132"/>
    <s v="22:55"/>
    <x v="1"/>
    <x v="8"/>
    <x v="0"/>
    <n v="1"/>
    <n v="14.5"/>
    <n v="14.5"/>
    <x v="0"/>
    <n v="5"/>
    <x v="27"/>
    <x v="0"/>
    <n v="14.5"/>
    <b v="1"/>
  </r>
  <r>
    <s v="ORD-00710"/>
    <x v="102"/>
    <s v="15:55"/>
    <x v="0"/>
    <x v="13"/>
    <x v="0"/>
    <n v="2"/>
    <n v="13.5"/>
    <n v="27"/>
    <x v="0"/>
    <n v="5"/>
    <x v="8"/>
    <x v="0"/>
    <n v="27"/>
    <b v="1"/>
  </r>
  <r>
    <s v="ORD-00711"/>
    <x v="255"/>
    <s v="17:00"/>
    <x v="1"/>
    <x v="7"/>
    <x v="3"/>
    <n v="3"/>
    <n v="6.95"/>
    <n v="-20.85"/>
    <x v="1"/>
    <n v="11"/>
    <x v="18"/>
    <x v="1"/>
    <n v="20.85"/>
    <b v="1"/>
  </r>
  <r>
    <s v="ORD-00712"/>
    <x v="130"/>
    <s v="13:35"/>
    <x v="0"/>
    <x v="19"/>
    <x v="2"/>
    <n v="3"/>
    <n v="7.95"/>
    <n v="0"/>
    <x v="0"/>
    <n v="19"/>
    <x v="13"/>
    <x v="2"/>
    <n v="23.85"/>
    <b v="1"/>
  </r>
  <r>
    <s v="ORD-00713"/>
    <x v="83"/>
    <s v="11:55"/>
    <x v="0"/>
    <x v="16"/>
    <x v="1"/>
    <n v="3"/>
    <n v="3.25"/>
    <n v="9.75"/>
    <x v="0"/>
    <n v="1"/>
    <x v="4"/>
    <x v="0"/>
    <n v="9.75"/>
    <b v="1"/>
  </r>
  <r>
    <s v="ORD-00714"/>
    <x v="201"/>
    <s v="17:25"/>
    <x v="1"/>
    <x v="13"/>
    <x v="0"/>
    <n v="2"/>
    <n v="13.5"/>
    <n v="27"/>
    <x v="0"/>
    <n v="19"/>
    <x v="8"/>
    <x v="0"/>
    <n v="27"/>
    <b v="1"/>
  </r>
  <r>
    <s v="ORD-00715"/>
    <x v="20"/>
    <s v="11:40"/>
    <x v="0"/>
    <x v="15"/>
    <x v="3"/>
    <n v="2"/>
    <n v="5.75"/>
    <n v="11.5"/>
    <x v="1"/>
    <n v="16"/>
    <x v="13"/>
    <x v="0"/>
    <n v="11.5"/>
    <b v="1"/>
  </r>
  <r>
    <s v="ORD-00716"/>
    <x v="157"/>
    <s v="22:25"/>
    <x v="1"/>
    <x v="7"/>
    <x v="3"/>
    <n v="1"/>
    <n v="6.95"/>
    <n v="6.95"/>
    <x v="0"/>
    <n v="12"/>
    <x v="19"/>
    <x v="0"/>
    <n v="6.95"/>
    <b v="1"/>
  </r>
  <r>
    <s v="ORD-00717"/>
    <x v="192"/>
    <s v="13:20"/>
    <x v="0"/>
    <x v="15"/>
    <x v="3"/>
    <n v="2"/>
    <n v="5.75"/>
    <n v="11.5"/>
    <x v="3"/>
    <n v="24"/>
    <x v="20"/>
    <x v="0"/>
    <n v="11.5"/>
    <b v="1"/>
  </r>
  <r>
    <s v="ORD-00718"/>
    <x v="83"/>
    <s v="14:55"/>
    <x v="0"/>
    <x v="12"/>
    <x v="3"/>
    <n v="1"/>
    <n v="7.25"/>
    <n v="7.25"/>
    <x v="1"/>
    <n v="20"/>
    <x v="15"/>
    <x v="0"/>
    <n v="7.25"/>
    <b v="1"/>
  </r>
  <r>
    <s v="ORD-00719"/>
    <x v="104"/>
    <s v="15:25"/>
    <x v="0"/>
    <x v="5"/>
    <x v="0"/>
    <n v="3"/>
    <n v="12.95"/>
    <n v="38.85"/>
    <x v="0"/>
    <n v="14"/>
    <x v="10"/>
    <x v="0"/>
    <n v="38.849999999999994"/>
    <b v="1"/>
  </r>
  <r>
    <s v="ORD-00720"/>
    <x v="231"/>
    <s v="21:35"/>
    <x v="1"/>
    <x v="18"/>
    <x v="1"/>
    <n v="2"/>
    <n v="6.5"/>
    <n v="13"/>
    <x v="1"/>
    <n v="7"/>
    <x v="0"/>
    <x v="0"/>
    <n v="13"/>
    <b v="1"/>
  </r>
  <r>
    <s v="ORD-00721"/>
    <x v="219"/>
    <s v="14:00"/>
    <x v="0"/>
    <x v="19"/>
    <x v="2"/>
    <n v="2"/>
    <n v="7.95"/>
    <n v="15.9"/>
    <x v="1"/>
    <n v="8"/>
    <x v="16"/>
    <x v="0"/>
    <n v="15.9"/>
    <b v="1"/>
  </r>
  <r>
    <s v="ORD-00722"/>
    <x v="250"/>
    <s v="13:50"/>
    <x v="0"/>
    <x v="16"/>
    <x v="1"/>
    <n v="1"/>
    <n v="3.25"/>
    <n v="3.25"/>
    <x v="1"/>
    <n v="29"/>
    <x v="22"/>
    <x v="0"/>
    <n v="3.25"/>
    <b v="1"/>
  </r>
  <r>
    <s v="ORD-00723"/>
    <x v="196"/>
    <s v="22:50"/>
    <x v="1"/>
    <x v="0"/>
    <x v="0"/>
    <n v="1"/>
    <n v="9.9499999999999993"/>
    <n v="-9.9499999999999993"/>
    <x v="0"/>
    <n v="3"/>
    <x v="10"/>
    <x v="1"/>
    <n v="9.9499999999999993"/>
    <b v="1"/>
  </r>
  <r>
    <s v="ORD-00724"/>
    <x v="224"/>
    <s v="21:30"/>
    <x v="1"/>
    <x v="6"/>
    <x v="2"/>
    <n v="2"/>
    <n v="5.5"/>
    <n v="11"/>
    <x v="2"/>
    <n v="23"/>
    <x v="33"/>
    <x v="0"/>
    <n v="11"/>
    <b v="1"/>
  </r>
  <r>
    <s v="ORD-00725"/>
    <x v="185"/>
    <s v="21:00"/>
    <x v="1"/>
    <x v="6"/>
    <x v="2"/>
    <n v="1"/>
    <n v="5.5"/>
    <n v="5.5"/>
    <x v="1"/>
    <n v="23"/>
    <x v="18"/>
    <x v="0"/>
    <n v="5.5"/>
    <b v="1"/>
  </r>
  <r>
    <s v="ORD-00726"/>
    <x v="255"/>
    <s v="13:30"/>
    <x v="0"/>
    <x v="3"/>
    <x v="2"/>
    <n v="1"/>
    <n v="8.5"/>
    <n v="8.5"/>
    <x v="0"/>
    <n v="17"/>
    <x v="13"/>
    <x v="0"/>
    <n v="8.5"/>
    <b v="1"/>
  </r>
  <r>
    <s v="ORD-00727"/>
    <x v="220"/>
    <s v="22:10"/>
    <x v="1"/>
    <x v="10"/>
    <x v="0"/>
    <n v="2"/>
    <n v="11.95"/>
    <n v="23.9"/>
    <x v="2"/>
    <n v="27"/>
    <x v="24"/>
    <x v="0"/>
    <n v="23.9"/>
    <b v="1"/>
  </r>
  <r>
    <s v="ORD-00728"/>
    <x v="32"/>
    <s v="13:05"/>
    <x v="0"/>
    <x v="4"/>
    <x v="1"/>
    <n v="2"/>
    <n v="2.8"/>
    <n v="5.6"/>
    <x v="1"/>
    <n v="1"/>
    <x v="11"/>
    <x v="0"/>
    <n v="5.6"/>
    <b v="1"/>
  </r>
  <r>
    <s v="ORD-00729"/>
    <x v="124"/>
    <s v="14:30"/>
    <x v="0"/>
    <x v="14"/>
    <x v="2"/>
    <n v="3"/>
    <n v="6.25"/>
    <n v="18.75"/>
    <x v="2"/>
    <n v="8"/>
    <x v="20"/>
    <x v="0"/>
    <n v="18.75"/>
    <b v="1"/>
  </r>
  <r>
    <s v="ORD-00730"/>
    <x v="120"/>
    <s v="22:40"/>
    <x v="1"/>
    <x v="10"/>
    <x v="0"/>
    <n v="1"/>
    <n v="11.95"/>
    <n v="11.95"/>
    <x v="2"/>
    <n v="4"/>
    <x v="6"/>
    <x v="0"/>
    <n v="11.95"/>
    <b v="1"/>
  </r>
  <r>
    <s v="ORD-00731"/>
    <x v="131"/>
    <s v="19:55"/>
    <x v="1"/>
    <x v="3"/>
    <x v="2"/>
    <n v="1"/>
    <n v="8.5"/>
    <n v="8.5"/>
    <x v="3"/>
    <n v="25"/>
    <x v="23"/>
    <x v="0"/>
    <n v="8.5"/>
    <b v="1"/>
  </r>
  <r>
    <s v="ORD-00732"/>
    <x v="184"/>
    <s v="17:55"/>
    <x v="1"/>
    <x v="10"/>
    <x v="0"/>
    <n v="1"/>
    <n v="11.95"/>
    <n v="11.95"/>
    <x v="0"/>
    <n v="5"/>
    <x v="2"/>
    <x v="0"/>
    <n v="11.95"/>
    <b v="1"/>
  </r>
  <r>
    <s v="ORD-00733"/>
    <x v="77"/>
    <s v="12:05"/>
    <x v="0"/>
    <x v="12"/>
    <x v="3"/>
    <n v="2"/>
    <n v="7.25"/>
    <n v="14.5"/>
    <x v="0"/>
    <n v="25"/>
    <x v="27"/>
    <x v="0"/>
    <n v="14.5"/>
    <b v="1"/>
  </r>
  <r>
    <s v="ORD-00734"/>
    <x v="175"/>
    <s v="15:45"/>
    <x v="0"/>
    <x v="13"/>
    <x v="0"/>
    <n v="1"/>
    <n v="13.5"/>
    <n v="13.5"/>
    <x v="1"/>
    <n v="2"/>
    <x v="17"/>
    <x v="0"/>
    <n v="13.5"/>
    <b v="1"/>
  </r>
  <r>
    <s v="ORD-00735"/>
    <x v="66"/>
    <s v="17:45"/>
    <x v="1"/>
    <x v="11"/>
    <x v="0"/>
    <n v="2"/>
    <n v="12.5"/>
    <n v="25"/>
    <x v="1"/>
    <n v="3"/>
    <x v="6"/>
    <x v="0"/>
    <n v="25"/>
    <b v="1"/>
  </r>
  <r>
    <s v="ORD-00736"/>
    <x v="20"/>
    <s v="19:25"/>
    <x v="1"/>
    <x v="17"/>
    <x v="0"/>
    <n v="2"/>
    <n v="15.95"/>
    <n v="-31.9"/>
    <x v="0"/>
    <n v="24"/>
    <x v="27"/>
    <x v="1"/>
    <n v="31.9"/>
    <b v="1"/>
  </r>
  <r>
    <s v="ORD-00737"/>
    <x v="50"/>
    <s v="17:45"/>
    <x v="1"/>
    <x v="2"/>
    <x v="0"/>
    <n v="1"/>
    <n v="11.5"/>
    <n v="11.5"/>
    <x v="2"/>
    <n v="29"/>
    <x v="13"/>
    <x v="0"/>
    <n v="11.5"/>
    <b v="1"/>
  </r>
  <r>
    <s v="ORD-00738"/>
    <x v="210"/>
    <s v="17:15"/>
    <x v="1"/>
    <x v="1"/>
    <x v="1"/>
    <n v="2"/>
    <n v="3.1"/>
    <n v="6.2"/>
    <x v="0"/>
    <n v="12"/>
    <x v="8"/>
    <x v="0"/>
    <n v="6.2"/>
    <b v="1"/>
  </r>
  <r>
    <s v="ORD-00739"/>
    <x v="249"/>
    <s v="17:10"/>
    <x v="1"/>
    <x v="3"/>
    <x v="2"/>
    <n v="4"/>
    <n v="8.5"/>
    <n v="34"/>
    <x v="2"/>
    <n v="4"/>
    <x v="17"/>
    <x v="0"/>
    <n v="34"/>
    <b v="1"/>
  </r>
  <r>
    <s v="ORD-00740"/>
    <x v="41"/>
    <s v="11:40"/>
    <x v="0"/>
    <x v="8"/>
    <x v="0"/>
    <n v="1"/>
    <n v="14.5"/>
    <n v="14.5"/>
    <x v="1"/>
    <n v="23"/>
    <x v="17"/>
    <x v="0"/>
    <n v="14.5"/>
    <b v="1"/>
  </r>
  <r>
    <s v="ORD-00741"/>
    <x v="37"/>
    <s v="14:05"/>
    <x v="0"/>
    <x v="7"/>
    <x v="3"/>
    <n v="1"/>
    <n v="6.95"/>
    <n v="6.95"/>
    <x v="0"/>
    <n v="27"/>
    <x v="7"/>
    <x v="0"/>
    <n v="6.95"/>
    <b v="1"/>
  </r>
  <r>
    <s v="ORD-00742"/>
    <x v="38"/>
    <s v="14:15"/>
    <x v="0"/>
    <x v="5"/>
    <x v="0"/>
    <n v="3"/>
    <n v="12.95"/>
    <n v="38.85"/>
    <x v="0"/>
    <n v="22"/>
    <x v="16"/>
    <x v="0"/>
    <n v="38.849999999999994"/>
    <b v="1"/>
  </r>
  <r>
    <s v="ORD-00743"/>
    <x v="192"/>
    <s v="20:50"/>
    <x v="1"/>
    <x v="10"/>
    <x v="0"/>
    <n v="1"/>
    <n v="11.95"/>
    <n v="11.95"/>
    <x v="0"/>
    <n v="5"/>
    <x v="20"/>
    <x v="0"/>
    <n v="11.95"/>
    <b v="1"/>
  </r>
  <r>
    <s v="ORD-00744"/>
    <x v="173"/>
    <s v="18:05"/>
    <x v="1"/>
    <x v="3"/>
    <x v="2"/>
    <n v="4"/>
    <n v="8.5"/>
    <n v="34"/>
    <x v="0"/>
    <n v="7"/>
    <x v="8"/>
    <x v="0"/>
    <n v="34"/>
    <b v="1"/>
  </r>
  <r>
    <s v="ORD-00745"/>
    <x v="82"/>
    <s v="14:55"/>
    <x v="0"/>
    <x v="16"/>
    <x v="1"/>
    <n v="1"/>
    <n v="3.25"/>
    <n v="3.25"/>
    <x v="2"/>
    <n v="25"/>
    <x v="22"/>
    <x v="0"/>
    <n v="3.25"/>
    <b v="1"/>
  </r>
  <r>
    <s v="ORD-00746"/>
    <x v="256"/>
    <s v="15:30"/>
    <x v="0"/>
    <x v="16"/>
    <x v="1"/>
    <n v="1"/>
    <n v="3.25"/>
    <n v="3.25"/>
    <x v="0"/>
    <n v="25"/>
    <x v="1"/>
    <x v="0"/>
    <n v="3.25"/>
    <b v="1"/>
  </r>
  <r>
    <s v="ORD-00747"/>
    <x v="49"/>
    <s v="14:15"/>
    <x v="0"/>
    <x v="8"/>
    <x v="0"/>
    <n v="1"/>
    <n v="14.5"/>
    <n v="0"/>
    <x v="1"/>
    <n v="22"/>
    <x v="20"/>
    <x v="2"/>
    <n v="14.5"/>
    <b v="1"/>
  </r>
  <r>
    <s v="ORD-00748"/>
    <x v="196"/>
    <s v="22:25"/>
    <x v="1"/>
    <x v="8"/>
    <x v="0"/>
    <n v="1"/>
    <n v="14.5"/>
    <n v="14.5"/>
    <x v="2"/>
    <n v="4"/>
    <x v="17"/>
    <x v="0"/>
    <n v="14.5"/>
    <b v="1"/>
  </r>
  <r>
    <s v="ORD-00749"/>
    <x v="107"/>
    <s v="20:15"/>
    <x v="1"/>
    <x v="19"/>
    <x v="2"/>
    <n v="2"/>
    <n v="7.95"/>
    <n v="15.9"/>
    <x v="3"/>
    <n v="26"/>
    <x v="9"/>
    <x v="0"/>
    <n v="15.9"/>
    <b v="1"/>
  </r>
  <r>
    <s v="ORD-00750"/>
    <x v="243"/>
    <s v="17:30"/>
    <x v="1"/>
    <x v="10"/>
    <x v="0"/>
    <n v="1"/>
    <n v="11.95"/>
    <n v="11.95"/>
    <x v="0"/>
    <n v="28"/>
    <x v="19"/>
    <x v="0"/>
    <n v="11.95"/>
    <b v="1"/>
  </r>
  <r>
    <s v="ORD-00751"/>
    <x v="4"/>
    <s v="12:40"/>
    <x v="0"/>
    <x v="19"/>
    <x v="2"/>
    <n v="3"/>
    <n v="7.95"/>
    <n v="23.85"/>
    <x v="0"/>
    <n v="23"/>
    <x v="9"/>
    <x v="0"/>
    <n v="23.85"/>
    <b v="1"/>
  </r>
  <r>
    <s v="ORD-00752"/>
    <x v="253"/>
    <s v="20:50"/>
    <x v="1"/>
    <x v="4"/>
    <x v="1"/>
    <n v="2"/>
    <n v="2.8"/>
    <n v="5.6"/>
    <x v="0"/>
    <n v="16"/>
    <x v="14"/>
    <x v="0"/>
    <n v="5.6"/>
    <b v="1"/>
  </r>
  <r>
    <s v="ORD-00753"/>
    <x v="257"/>
    <s v="20:20"/>
    <x v="1"/>
    <x v="16"/>
    <x v="1"/>
    <n v="2"/>
    <n v="3.25"/>
    <n v="6.5"/>
    <x v="1"/>
    <n v="10"/>
    <x v="24"/>
    <x v="0"/>
    <n v="6.5"/>
    <b v="1"/>
  </r>
  <r>
    <s v="ORD-00754"/>
    <x v="141"/>
    <s v="18:25"/>
    <x v="1"/>
    <x v="3"/>
    <x v="2"/>
    <n v="2"/>
    <n v="8.5"/>
    <n v="17"/>
    <x v="2"/>
    <n v="1"/>
    <x v="10"/>
    <x v="0"/>
    <n v="17"/>
    <b v="1"/>
  </r>
  <r>
    <s v="ORD-00755"/>
    <x v="258"/>
    <s v="20:25"/>
    <x v="1"/>
    <x v="3"/>
    <x v="2"/>
    <n v="1"/>
    <n v="8.5"/>
    <n v="8.5"/>
    <x v="1"/>
    <n v="21"/>
    <x v="8"/>
    <x v="0"/>
    <n v="8.5"/>
    <b v="1"/>
  </r>
  <r>
    <s v="ORD-00756"/>
    <x v="113"/>
    <s v="17:20"/>
    <x v="1"/>
    <x v="10"/>
    <x v="0"/>
    <n v="1"/>
    <n v="11.95"/>
    <n v="11.95"/>
    <x v="1"/>
    <n v="18"/>
    <x v="10"/>
    <x v="0"/>
    <n v="11.95"/>
    <b v="1"/>
  </r>
  <r>
    <s v="ORD-00757"/>
    <x v="4"/>
    <s v="20:45"/>
    <x v="1"/>
    <x v="1"/>
    <x v="1"/>
    <n v="3"/>
    <n v="3.1"/>
    <n v="9.3000000000000007"/>
    <x v="3"/>
    <n v="1"/>
    <x v="19"/>
    <x v="0"/>
    <n v="9.3000000000000007"/>
    <b v="1"/>
  </r>
  <r>
    <s v="ORD-00758"/>
    <x v="165"/>
    <s v="19:45"/>
    <x v="1"/>
    <x v="10"/>
    <x v="0"/>
    <n v="2"/>
    <n v="11.95"/>
    <n v="23.9"/>
    <x v="0"/>
    <n v="23"/>
    <x v="17"/>
    <x v="0"/>
    <n v="23.9"/>
    <b v="1"/>
  </r>
  <r>
    <s v="ORD-00759"/>
    <x v="3"/>
    <s v="22:25"/>
    <x v="1"/>
    <x v="17"/>
    <x v="0"/>
    <n v="2"/>
    <n v="15.95"/>
    <n v="31.9"/>
    <x v="2"/>
    <n v="21"/>
    <x v="21"/>
    <x v="0"/>
    <n v="31.9"/>
    <b v="1"/>
  </r>
  <r>
    <s v="ORD-00760"/>
    <x v="23"/>
    <s v="21:15"/>
    <x v="1"/>
    <x v="19"/>
    <x v="2"/>
    <n v="1"/>
    <n v="7.95"/>
    <n v="7.95"/>
    <x v="0"/>
    <n v="19"/>
    <x v="19"/>
    <x v="0"/>
    <n v="7.95"/>
    <b v="1"/>
  </r>
  <r>
    <s v="ORD-00761"/>
    <x v="121"/>
    <s v="17:55"/>
    <x v="1"/>
    <x v="18"/>
    <x v="1"/>
    <n v="1"/>
    <n v="6.5"/>
    <n v="6.5"/>
    <x v="0"/>
    <n v="17"/>
    <x v="5"/>
    <x v="0"/>
    <n v="6.5"/>
    <b v="1"/>
  </r>
  <r>
    <s v="ORD-00762"/>
    <x v="259"/>
    <s v="11:50"/>
    <x v="0"/>
    <x v="19"/>
    <x v="2"/>
    <n v="1"/>
    <n v="7.95"/>
    <n v="7.95"/>
    <x v="0"/>
    <n v="14"/>
    <x v="21"/>
    <x v="0"/>
    <n v="7.95"/>
    <b v="1"/>
  </r>
  <r>
    <s v="ORD-00763"/>
    <x v="41"/>
    <s v="14:20"/>
    <x v="0"/>
    <x v="9"/>
    <x v="1"/>
    <n v="1"/>
    <n v="3.75"/>
    <n v="3.75"/>
    <x v="0"/>
    <n v="1"/>
    <x v="22"/>
    <x v="0"/>
    <n v="3.75"/>
    <b v="1"/>
  </r>
  <r>
    <s v="ORD-00764"/>
    <x v="239"/>
    <s v="21:35"/>
    <x v="1"/>
    <x v="11"/>
    <x v="0"/>
    <n v="2"/>
    <n v="12.5"/>
    <n v="0"/>
    <x v="1"/>
    <n v="15"/>
    <x v="10"/>
    <x v="2"/>
    <n v="25"/>
    <b v="1"/>
  </r>
  <r>
    <s v="ORD-00765"/>
    <x v="235"/>
    <s v="20:45"/>
    <x v="1"/>
    <x v="13"/>
    <x v="0"/>
    <n v="1"/>
    <n v="13.5"/>
    <n v="13.5"/>
    <x v="0"/>
    <n v="24"/>
    <x v="7"/>
    <x v="0"/>
    <n v="13.5"/>
    <b v="1"/>
  </r>
  <r>
    <s v="ORD-00766"/>
    <x v="30"/>
    <s v="20:25"/>
    <x v="1"/>
    <x v="5"/>
    <x v="0"/>
    <n v="2"/>
    <n v="12.95"/>
    <n v="25.9"/>
    <x v="2"/>
    <n v="9"/>
    <x v="13"/>
    <x v="0"/>
    <n v="25.9"/>
    <b v="1"/>
  </r>
  <r>
    <s v="ORD-00767"/>
    <x v="125"/>
    <s v="15:15"/>
    <x v="0"/>
    <x v="7"/>
    <x v="3"/>
    <n v="1"/>
    <n v="6.95"/>
    <n v="6.95"/>
    <x v="1"/>
    <n v="27"/>
    <x v="8"/>
    <x v="0"/>
    <n v="6.95"/>
    <b v="1"/>
  </r>
  <r>
    <s v="ORD-00768"/>
    <x v="84"/>
    <s v="20:30"/>
    <x v="1"/>
    <x v="13"/>
    <x v="0"/>
    <n v="1"/>
    <n v="13.5"/>
    <n v="13.5"/>
    <x v="1"/>
    <n v="5"/>
    <x v="18"/>
    <x v="0"/>
    <n v="13.5"/>
    <b v="1"/>
  </r>
  <r>
    <s v="ORD-00769"/>
    <x v="20"/>
    <s v="18:50"/>
    <x v="1"/>
    <x v="13"/>
    <x v="0"/>
    <n v="3"/>
    <n v="13.5"/>
    <n v="40.5"/>
    <x v="1"/>
    <n v="29"/>
    <x v="17"/>
    <x v="0"/>
    <n v="40.5"/>
    <b v="1"/>
  </r>
  <r>
    <s v="ORD-00770"/>
    <x v="240"/>
    <s v="20:25"/>
    <x v="1"/>
    <x v="5"/>
    <x v="0"/>
    <n v="1"/>
    <n v="12.95"/>
    <n v="12.95"/>
    <x v="1"/>
    <n v="27"/>
    <x v="20"/>
    <x v="0"/>
    <n v="12.95"/>
    <b v="1"/>
  </r>
  <r>
    <s v="ORD-00771"/>
    <x v="0"/>
    <s v="21:05"/>
    <x v="1"/>
    <x v="1"/>
    <x v="1"/>
    <n v="2"/>
    <n v="3.1"/>
    <n v="6.2"/>
    <x v="0"/>
    <n v="9"/>
    <x v="23"/>
    <x v="0"/>
    <n v="6.2"/>
    <b v="1"/>
  </r>
  <r>
    <s v="ORD-00772"/>
    <x v="80"/>
    <s v="11:25"/>
    <x v="0"/>
    <x v="14"/>
    <x v="2"/>
    <n v="2"/>
    <n v="6.25"/>
    <n v="0"/>
    <x v="2"/>
    <n v="13"/>
    <x v="5"/>
    <x v="2"/>
    <n v="12.5"/>
    <b v="1"/>
  </r>
  <r>
    <s v="ORD-00773"/>
    <x v="47"/>
    <s v="18:10"/>
    <x v="1"/>
    <x v="10"/>
    <x v="0"/>
    <n v="1"/>
    <n v="11.95"/>
    <n v="11.95"/>
    <x v="1"/>
    <n v="19"/>
    <x v="7"/>
    <x v="0"/>
    <n v="11.95"/>
    <b v="1"/>
  </r>
  <r>
    <s v="ORD-00774"/>
    <x v="185"/>
    <s v="17:25"/>
    <x v="1"/>
    <x v="4"/>
    <x v="1"/>
    <n v="1"/>
    <n v="2.8"/>
    <n v="2.8"/>
    <x v="3"/>
    <n v="8"/>
    <x v="2"/>
    <x v="0"/>
    <n v="2.8"/>
    <b v="1"/>
  </r>
  <r>
    <s v="ORD-00775"/>
    <x v="167"/>
    <s v="13:20"/>
    <x v="0"/>
    <x v="2"/>
    <x v="0"/>
    <n v="2"/>
    <n v="11.5"/>
    <n v="23"/>
    <x v="3"/>
    <n v="26"/>
    <x v="27"/>
    <x v="0"/>
    <n v="23"/>
    <b v="1"/>
  </r>
  <r>
    <s v="ORD-00776"/>
    <x v="148"/>
    <s v="14:20"/>
    <x v="0"/>
    <x v="3"/>
    <x v="2"/>
    <n v="3"/>
    <n v="8.5"/>
    <n v="25.5"/>
    <x v="0"/>
    <n v="4"/>
    <x v="20"/>
    <x v="0"/>
    <n v="25.5"/>
    <b v="1"/>
  </r>
  <r>
    <s v="ORD-00777"/>
    <x v="162"/>
    <s v="20:00"/>
    <x v="1"/>
    <x v="7"/>
    <x v="3"/>
    <n v="3"/>
    <n v="6.95"/>
    <n v="20.85"/>
    <x v="1"/>
    <n v="25"/>
    <x v="7"/>
    <x v="0"/>
    <n v="20.85"/>
    <b v="1"/>
  </r>
  <r>
    <s v="ORD-00778"/>
    <x v="259"/>
    <s v="18:35"/>
    <x v="1"/>
    <x v="14"/>
    <x v="2"/>
    <n v="2"/>
    <n v="6.25"/>
    <n v="-12.5"/>
    <x v="0"/>
    <n v="21"/>
    <x v="29"/>
    <x v="1"/>
    <n v="12.5"/>
    <b v="1"/>
  </r>
  <r>
    <s v="ORD-00779"/>
    <x v="206"/>
    <s v="11:35"/>
    <x v="0"/>
    <x v="16"/>
    <x v="1"/>
    <n v="2"/>
    <n v="3.25"/>
    <n v="6.5"/>
    <x v="1"/>
    <n v="27"/>
    <x v="16"/>
    <x v="0"/>
    <n v="6.5"/>
    <b v="1"/>
  </r>
  <r>
    <s v="ORD-00780"/>
    <x v="125"/>
    <s v="21:05"/>
    <x v="1"/>
    <x v="3"/>
    <x v="2"/>
    <n v="1"/>
    <n v="8.5"/>
    <n v="8.5"/>
    <x v="0"/>
    <n v="27"/>
    <x v="4"/>
    <x v="0"/>
    <n v="8.5"/>
    <b v="1"/>
  </r>
  <r>
    <s v="ORD-00781"/>
    <x v="172"/>
    <s v="17:00"/>
    <x v="1"/>
    <x v="17"/>
    <x v="0"/>
    <n v="2"/>
    <n v="15.95"/>
    <n v="31.9"/>
    <x v="1"/>
    <n v="21"/>
    <x v="21"/>
    <x v="0"/>
    <n v="31.9"/>
    <b v="1"/>
  </r>
  <r>
    <s v="ORD-00782"/>
    <x v="170"/>
    <s v="12:40"/>
    <x v="0"/>
    <x v="8"/>
    <x v="0"/>
    <n v="2"/>
    <n v="14.5"/>
    <n v="29"/>
    <x v="2"/>
    <n v="14"/>
    <x v="17"/>
    <x v="0"/>
    <n v="29"/>
    <b v="1"/>
  </r>
  <r>
    <s v="ORD-00783"/>
    <x v="52"/>
    <s v="22:10"/>
    <x v="1"/>
    <x v="6"/>
    <x v="2"/>
    <n v="1"/>
    <n v="5.5"/>
    <n v="5.5"/>
    <x v="1"/>
    <n v="7"/>
    <x v="18"/>
    <x v="0"/>
    <n v="5.5"/>
    <b v="1"/>
  </r>
  <r>
    <s v="ORD-00784"/>
    <x v="138"/>
    <s v="14:45"/>
    <x v="0"/>
    <x v="0"/>
    <x v="0"/>
    <n v="1"/>
    <n v="9.9499999999999993"/>
    <n v="9.9499999999999993"/>
    <x v="0"/>
    <n v="30"/>
    <x v="16"/>
    <x v="0"/>
    <n v="9.9499999999999993"/>
    <b v="1"/>
  </r>
  <r>
    <s v="ORD-00785"/>
    <x v="79"/>
    <s v="20:15"/>
    <x v="1"/>
    <x v="6"/>
    <x v="2"/>
    <n v="2"/>
    <n v="5.5"/>
    <n v="11"/>
    <x v="1"/>
    <n v="20"/>
    <x v="12"/>
    <x v="0"/>
    <n v="11"/>
    <b v="1"/>
  </r>
  <r>
    <s v="ORD-00786"/>
    <x v="225"/>
    <s v="18:45"/>
    <x v="1"/>
    <x v="10"/>
    <x v="0"/>
    <n v="1"/>
    <n v="11.95"/>
    <n v="11.95"/>
    <x v="2"/>
    <n v="14"/>
    <x v="6"/>
    <x v="0"/>
    <n v="11.95"/>
    <b v="1"/>
  </r>
  <r>
    <s v="ORD-00787"/>
    <x v="194"/>
    <s v="20:05"/>
    <x v="1"/>
    <x v="0"/>
    <x v="0"/>
    <n v="2"/>
    <n v="9.9499999999999993"/>
    <n v="19.899999999999999"/>
    <x v="1"/>
    <n v="9"/>
    <x v="26"/>
    <x v="0"/>
    <n v="19.899999999999999"/>
    <b v="1"/>
  </r>
  <r>
    <s v="ORD-00788"/>
    <x v="65"/>
    <s v="20:15"/>
    <x v="1"/>
    <x v="9"/>
    <x v="1"/>
    <n v="1"/>
    <n v="3.75"/>
    <n v="3.75"/>
    <x v="0"/>
    <n v="24"/>
    <x v="22"/>
    <x v="0"/>
    <n v="3.75"/>
    <b v="1"/>
  </r>
  <r>
    <s v="ORD-00789"/>
    <x v="2"/>
    <s v="12:00"/>
    <x v="0"/>
    <x v="19"/>
    <x v="2"/>
    <n v="4"/>
    <n v="7.95"/>
    <n v="31.8"/>
    <x v="0"/>
    <n v="12"/>
    <x v="16"/>
    <x v="0"/>
    <n v="31.8"/>
    <b v="1"/>
  </r>
  <r>
    <s v="ORD-00790"/>
    <x v="128"/>
    <s v="14:10"/>
    <x v="0"/>
    <x v="14"/>
    <x v="2"/>
    <n v="4"/>
    <n v="6.25"/>
    <n v="25"/>
    <x v="1"/>
    <n v="22"/>
    <x v="4"/>
    <x v="0"/>
    <n v="25"/>
    <b v="1"/>
  </r>
  <r>
    <s v="ORD-00791"/>
    <x v="208"/>
    <s v="22:45"/>
    <x v="1"/>
    <x v="6"/>
    <x v="2"/>
    <n v="1"/>
    <n v="5.5"/>
    <n v="5.5"/>
    <x v="0"/>
    <n v="8"/>
    <x v="27"/>
    <x v="0"/>
    <n v="5.5"/>
    <b v="1"/>
  </r>
  <r>
    <s v="ORD-00792"/>
    <x v="242"/>
    <s v="22:45"/>
    <x v="1"/>
    <x v="13"/>
    <x v="0"/>
    <n v="1"/>
    <n v="13.5"/>
    <n v="13.5"/>
    <x v="0"/>
    <n v="20"/>
    <x v="13"/>
    <x v="0"/>
    <n v="13.5"/>
    <b v="1"/>
  </r>
  <r>
    <s v="ORD-00793"/>
    <x v="95"/>
    <s v="18:40"/>
    <x v="1"/>
    <x v="13"/>
    <x v="0"/>
    <n v="2"/>
    <n v="13.5"/>
    <n v="27"/>
    <x v="3"/>
    <n v="11"/>
    <x v="21"/>
    <x v="0"/>
    <n v="27"/>
    <b v="1"/>
  </r>
  <r>
    <s v="ORD-00794"/>
    <x v="31"/>
    <s v="15:30"/>
    <x v="0"/>
    <x v="8"/>
    <x v="0"/>
    <n v="1"/>
    <n v="14.5"/>
    <n v="14.5"/>
    <x v="3"/>
    <n v="2"/>
    <x v="6"/>
    <x v="0"/>
    <n v="14.5"/>
    <b v="1"/>
  </r>
  <r>
    <s v="ORD-00795"/>
    <x v="9"/>
    <s v="19:55"/>
    <x v="1"/>
    <x v="3"/>
    <x v="2"/>
    <n v="3"/>
    <n v="8.5"/>
    <n v="25.5"/>
    <x v="2"/>
    <n v="27"/>
    <x v="21"/>
    <x v="0"/>
    <n v="25.5"/>
    <b v="1"/>
  </r>
  <r>
    <s v="ORD-00796"/>
    <x v="90"/>
    <s v="20:10"/>
    <x v="1"/>
    <x v="14"/>
    <x v="2"/>
    <n v="2"/>
    <n v="6.25"/>
    <n v="12.5"/>
    <x v="3"/>
    <n v="25"/>
    <x v="8"/>
    <x v="0"/>
    <n v="12.5"/>
    <b v="1"/>
  </r>
  <r>
    <s v="ORD-00797"/>
    <x v="89"/>
    <s v="12:00"/>
    <x v="0"/>
    <x v="0"/>
    <x v="0"/>
    <n v="1"/>
    <n v="9.9499999999999993"/>
    <n v="9.9499999999999993"/>
    <x v="1"/>
    <n v="14"/>
    <x v="7"/>
    <x v="0"/>
    <n v="9.9499999999999993"/>
    <b v="1"/>
  </r>
  <r>
    <s v="ORD-00798"/>
    <x v="65"/>
    <s v="13:55"/>
    <x v="0"/>
    <x v="4"/>
    <x v="1"/>
    <n v="1"/>
    <n v="2.8"/>
    <n v="2.8"/>
    <x v="2"/>
    <n v="4"/>
    <x v="20"/>
    <x v="0"/>
    <n v="2.8"/>
    <b v="1"/>
  </r>
  <r>
    <s v="ORD-00799"/>
    <x v="260"/>
    <s v="11:15"/>
    <x v="0"/>
    <x v="19"/>
    <x v="2"/>
    <n v="1"/>
    <n v="7.95"/>
    <n v="7.95"/>
    <x v="3"/>
    <n v="19"/>
    <x v="7"/>
    <x v="0"/>
    <n v="7.95"/>
    <b v="1"/>
  </r>
  <r>
    <s v="ORD-00800"/>
    <x v="223"/>
    <s v="17:40"/>
    <x v="1"/>
    <x v="18"/>
    <x v="1"/>
    <n v="1"/>
    <n v="6.5"/>
    <n v="6.5"/>
    <x v="2"/>
    <n v="8"/>
    <x v="1"/>
    <x v="0"/>
    <n v="6.5"/>
    <b v="1"/>
  </r>
  <r>
    <s v="ORD-00801"/>
    <x v="154"/>
    <s v="17:20"/>
    <x v="1"/>
    <x v="10"/>
    <x v="0"/>
    <n v="1"/>
    <n v="11.95"/>
    <n v="11.95"/>
    <x v="1"/>
    <n v="11"/>
    <x v="6"/>
    <x v="0"/>
    <n v="11.95"/>
    <b v="1"/>
  </r>
  <r>
    <s v="ORD-00802"/>
    <x v="75"/>
    <s v="22:50"/>
    <x v="1"/>
    <x v="16"/>
    <x v="1"/>
    <n v="1"/>
    <n v="3.25"/>
    <n v="3.25"/>
    <x v="0"/>
    <n v="20"/>
    <x v="5"/>
    <x v="0"/>
    <n v="3.25"/>
    <b v="1"/>
  </r>
  <r>
    <s v="ORD-00803"/>
    <x v="118"/>
    <s v="22:45"/>
    <x v="1"/>
    <x v="15"/>
    <x v="3"/>
    <n v="1"/>
    <n v="5.75"/>
    <n v="5.75"/>
    <x v="0"/>
    <n v="26"/>
    <x v="29"/>
    <x v="0"/>
    <n v="5.75"/>
    <b v="1"/>
  </r>
  <r>
    <s v="ORD-00804"/>
    <x v="223"/>
    <s v="22:20"/>
    <x v="1"/>
    <x v="14"/>
    <x v="2"/>
    <n v="2"/>
    <n v="6.25"/>
    <n v="0"/>
    <x v="0"/>
    <n v="3"/>
    <x v="19"/>
    <x v="2"/>
    <n v="12.5"/>
    <b v="1"/>
  </r>
  <r>
    <s v="ORD-00805"/>
    <x v="219"/>
    <s v="13:10"/>
    <x v="0"/>
    <x v="0"/>
    <x v="0"/>
    <n v="3"/>
    <n v="9.9499999999999993"/>
    <n v="29.85"/>
    <x v="0"/>
    <n v="6"/>
    <x v="27"/>
    <x v="0"/>
    <n v="29.849999999999998"/>
    <b v="1"/>
  </r>
  <r>
    <s v="ORD-00806"/>
    <x v="82"/>
    <s v="12:05"/>
    <x v="0"/>
    <x v="19"/>
    <x v="2"/>
    <n v="1"/>
    <n v="7.95"/>
    <n v="7.95"/>
    <x v="2"/>
    <n v="24"/>
    <x v="6"/>
    <x v="0"/>
    <n v="7.95"/>
    <b v="1"/>
  </r>
  <r>
    <s v="ORD-00807"/>
    <x v="111"/>
    <s v="21:10"/>
    <x v="1"/>
    <x v="3"/>
    <x v="2"/>
    <n v="2"/>
    <n v="8.5"/>
    <n v="17"/>
    <x v="0"/>
    <n v="29"/>
    <x v="14"/>
    <x v="0"/>
    <n v="17"/>
    <b v="1"/>
  </r>
  <r>
    <s v="ORD-00808"/>
    <x v="188"/>
    <s v="20:05"/>
    <x v="1"/>
    <x v="12"/>
    <x v="3"/>
    <n v="2"/>
    <n v="7.25"/>
    <n v="14.5"/>
    <x v="0"/>
    <n v="6"/>
    <x v="19"/>
    <x v="0"/>
    <n v="14.5"/>
    <b v="1"/>
  </r>
  <r>
    <s v="ORD-00809"/>
    <x v="182"/>
    <s v="15:25"/>
    <x v="0"/>
    <x v="15"/>
    <x v="3"/>
    <n v="2"/>
    <n v="5.75"/>
    <n v="11.5"/>
    <x v="0"/>
    <n v="16"/>
    <x v="2"/>
    <x v="0"/>
    <n v="11.5"/>
    <b v="1"/>
  </r>
  <r>
    <s v="ORD-00810"/>
    <x v="69"/>
    <s v="14:30"/>
    <x v="0"/>
    <x v="5"/>
    <x v="0"/>
    <n v="3"/>
    <n v="12.95"/>
    <n v="38.85"/>
    <x v="1"/>
    <n v="10"/>
    <x v="9"/>
    <x v="0"/>
    <n v="38.849999999999994"/>
    <b v="1"/>
  </r>
  <r>
    <s v="ORD-00811"/>
    <x v="44"/>
    <s v="19:15"/>
    <x v="1"/>
    <x v="1"/>
    <x v="1"/>
    <n v="1"/>
    <n v="3.1"/>
    <n v="3.1"/>
    <x v="0"/>
    <n v="2"/>
    <x v="7"/>
    <x v="0"/>
    <n v="3.1"/>
    <b v="1"/>
  </r>
  <r>
    <s v="ORD-00812"/>
    <x v="157"/>
    <s v="17:35"/>
    <x v="1"/>
    <x v="18"/>
    <x v="1"/>
    <n v="2"/>
    <n v="6.5"/>
    <n v="13"/>
    <x v="0"/>
    <n v="9"/>
    <x v="14"/>
    <x v="0"/>
    <n v="13"/>
    <b v="1"/>
  </r>
  <r>
    <s v="ORD-00813"/>
    <x v="27"/>
    <s v="14:10"/>
    <x v="0"/>
    <x v="17"/>
    <x v="0"/>
    <n v="2"/>
    <n v="15.95"/>
    <n v="31.9"/>
    <x v="1"/>
    <n v="10"/>
    <x v="23"/>
    <x v="0"/>
    <n v="31.9"/>
    <b v="1"/>
  </r>
  <r>
    <s v="ORD-00814"/>
    <x v="194"/>
    <s v="20:45"/>
    <x v="1"/>
    <x v="6"/>
    <x v="2"/>
    <n v="1"/>
    <n v="5.5"/>
    <n v="5.5"/>
    <x v="1"/>
    <n v="7"/>
    <x v="23"/>
    <x v="0"/>
    <n v="5.5"/>
    <b v="1"/>
  </r>
  <r>
    <s v="ORD-00815"/>
    <x v="207"/>
    <s v="17:30"/>
    <x v="1"/>
    <x v="4"/>
    <x v="1"/>
    <n v="1"/>
    <n v="2.8"/>
    <n v="2.8"/>
    <x v="0"/>
    <n v="16"/>
    <x v="7"/>
    <x v="0"/>
    <n v="2.8"/>
    <b v="1"/>
  </r>
  <r>
    <s v="ORD-00816"/>
    <x v="55"/>
    <s v="22:45"/>
    <x v="1"/>
    <x v="16"/>
    <x v="1"/>
    <n v="1"/>
    <n v="3.25"/>
    <n v="3.25"/>
    <x v="0"/>
    <n v="12"/>
    <x v="7"/>
    <x v="0"/>
    <n v="3.25"/>
    <b v="1"/>
  </r>
  <r>
    <s v="ORD-00817"/>
    <x v="95"/>
    <s v="17:10"/>
    <x v="1"/>
    <x v="8"/>
    <x v="0"/>
    <n v="1"/>
    <n v="14.5"/>
    <n v="14.5"/>
    <x v="3"/>
    <n v="7"/>
    <x v="21"/>
    <x v="0"/>
    <n v="14.5"/>
    <b v="1"/>
  </r>
  <r>
    <s v="ORD-00818"/>
    <x v="259"/>
    <s v="18:50"/>
    <x v="1"/>
    <x v="0"/>
    <x v="0"/>
    <n v="1"/>
    <n v="9.9499999999999993"/>
    <n v="9.9499999999999993"/>
    <x v="2"/>
    <n v="28"/>
    <x v="5"/>
    <x v="0"/>
    <n v="9.9499999999999993"/>
    <b v="1"/>
  </r>
  <r>
    <s v="ORD-00819"/>
    <x v="21"/>
    <s v="14:10"/>
    <x v="0"/>
    <x v="16"/>
    <x v="1"/>
    <n v="1"/>
    <n v="3.25"/>
    <n v="3.25"/>
    <x v="0"/>
    <n v="23"/>
    <x v="0"/>
    <x v="0"/>
    <n v="3.25"/>
    <b v="1"/>
  </r>
  <r>
    <s v="ORD-00820"/>
    <x v="84"/>
    <s v="20:45"/>
    <x v="1"/>
    <x v="0"/>
    <x v="0"/>
    <n v="1"/>
    <n v="9.9499999999999993"/>
    <n v="9.9499999999999993"/>
    <x v="2"/>
    <n v="27"/>
    <x v="6"/>
    <x v="0"/>
    <n v="9.9499999999999993"/>
    <b v="1"/>
  </r>
  <r>
    <s v="ORD-00821"/>
    <x v="145"/>
    <s v="11:50"/>
    <x v="0"/>
    <x v="12"/>
    <x v="3"/>
    <n v="4"/>
    <n v="7.25"/>
    <n v="29"/>
    <x v="3"/>
    <n v="18"/>
    <x v="7"/>
    <x v="0"/>
    <n v="29"/>
    <b v="1"/>
  </r>
  <r>
    <s v="ORD-00822"/>
    <x v="261"/>
    <s v="20:40"/>
    <x v="1"/>
    <x v="18"/>
    <x v="1"/>
    <n v="2"/>
    <n v="6.5"/>
    <n v="13"/>
    <x v="2"/>
    <n v="29"/>
    <x v="3"/>
    <x v="0"/>
    <n v="13"/>
    <b v="1"/>
  </r>
  <r>
    <s v="ORD-00823"/>
    <x v="26"/>
    <s v="11:40"/>
    <x v="0"/>
    <x v="2"/>
    <x v="0"/>
    <n v="1"/>
    <n v="11.5"/>
    <n v="11.5"/>
    <x v="0"/>
    <n v="21"/>
    <x v="5"/>
    <x v="0"/>
    <n v="11.5"/>
    <b v="1"/>
  </r>
  <r>
    <s v="ORD-00824"/>
    <x v="46"/>
    <s v="15:50"/>
    <x v="0"/>
    <x v="3"/>
    <x v="2"/>
    <n v="1"/>
    <n v="8.5"/>
    <n v="8.5"/>
    <x v="1"/>
    <n v="1"/>
    <x v="2"/>
    <x v="0"/>
    <n v="8.5"/>
    <b v="1"/>
  </r>
  <r>
    <s v="ORD-00825"/>
    <x v="262"/>
    <s v="20:15"/>
    <x v="1"/>
    <x v="1"/>
    <x v="1"/>
    <n v="1"/>
    <n v="3.1"/>
    <n v="3.1"/>
    <x v="0"/>
    <n v="27"/>
    <x v="24"/>
    <x v="0"/>
    <n v="3.1"/>
    <b v="1"/>
  </r>
  <r>
    <s v="ORD-00826"/>
    <x v="263"/>
    <s v="13:55"/>
    <x v="0"/>
    <x v="7"/>
    <x v="3"/>
    <n v="3"/>
    <n v="6.95"/>
    <n v="20.85"/>
    <x v="0"/>
    <n v="21"/>
    <x v="6"/>
    <x v="0"/>
    <n v="20.85"/>
    <b v="1"/>
  </r>
  <r>
    <s v="ORD-00827"/>
    <x v="156"/>
    <s v="18:45"/>
    <x v="1"/>
    <x v="11"/>
    <x v="0"/>
    <n v="1"/>
    <n v="12.5"/>
    <n v="0"/>
    <x v="1"/>
    <n v="6"/>
    <x v="27"/>
    <x v="2"/>
    <n v="12.5"/>
    <b v="1"/>
  </r>
  <r>
    <s v="ORD-00828"/>
    <x v="136"/>
    <s v="14:35"/>
    <x v="0"/>
    <x v="19"/>
    <x v="2"/>
    <n v="1"/>
    <n v="7.95"/>
    <n v="7.95"/>
    <x v="3"/>
    <n v="2"/>
    <x v="19"/>
    <x v="0"/>
    <n v="7.95"/>
    <b v="1"/>
  </r>
  <r>
    <s v="ORD-00829"/>
    <x v="103"/>
    <s v="19:50"/>
    <x v="1"/>
    <x v="17"/>
    <x v="0"/>
    <n v="1"/>
    <n v="15.95"/>
    <n v="15.95"/>
    <x v="1"/>
    <n v="14"/>
    <x v="6"/>
    <x v="0"/>
    <n v="15.95"/>
    <b v="1"/>
  </r>
  <r>
    <s v="ORD-00830"/>
    <x v="91"/>
    <s v="12:35"/>
    <x v="0"/>
    <x v="6"/>
    <x v="2"/>
    <n v="4"/>
    <n v="5.5"/>
    <n v="22"/>
    <x v="1"/>
    <n v="25"/>
    <x v="10"/>
    <x v="0"/>
    <n v="22"/>
    <b v="1"/>
  </r>
  <r>
    <s v="ORD-00831"/>
    <x v="254"/>
    <s v="22:40"/>
    <x v="1"/>
    <x v="9"/>
    <x v="1"/>
    <n v="2"/>
    <n v="3.75"/>
    <n v="7.5"/>
    <x v="0"/>
    <n v="26"/>
    <x v="23"/>
    <x v="0"/>
    <n v="7.5"/>
    <b v="1"/>
  </r>
  <r>
    <s v="ORD-00832"/>
    <x v="253"/>
    <s v="21:45"/>
    <x v="1"/>
    <x v="10"/>
    <x v="0"/>
    <n v="2"/>
    <n v="11.95"/>
    <n v="23.9"/>
    <x v="1"/>
    <n v="17"/>
    <x v="18"/>
    <x v="0"/>
    <n v="23.9"/>
    <b v="1"/>
  </r>
  <r>
    <s v="ORD-00833"/>
    <x v="135"/>
    <s v="19:10"/>
    <x v="1"/>
    <x v="19"/>
    <x v="2"/>
    <n v="2"/>
    <n v="7.95"/>
    <n v="-15.9"/>
    <x v="1"/>
    <n v="4"/>
    <x v="0"/>
    <x v="1"/>
    <n v="15.9"/>
    <b v="1"/>
  </r>
  <r>
    <s v="ORD-00834"/>
    <x v="6"/>
    <s v="12:05"/>
    <x v="0"/>
    <x v="11"/>
    <x v="0"/>
    <n v="1"/>
    <n v="12.5"/>
    <n v="12.5"/>
    <x v="2"/>
    <n v="25"/>
    <x v="7"/>
    <x v="0"/>
    <n v="12.5"/>
    <b v="1"/>
  </r>
  <r>
    <s v="ORD-00835"/>
    <x v="7"/>
    <s v="20:25"/>
    <x v="1"/>
    <x v="19"/>
    <x v="2"/>
    <n v="1"/>
    <n v="7.95"/>
    <n v="7.95"/>
    <x v="0"/>
    <n v="14"/>
    <x v="19"/>
    <x v="0"/>
    <n v="7.95"/>
    <b v="1"/>
  </r>
  <r>
    <s v="ORD-00836"/>
    <x v="7"/>
    <s v="15:30"/>
    <x v="0"/>
    <x v="0"/>
    <x v="0"/>
    <n v="1"/>
    <n v="9.9499999999999993"/>
    <n v="9.9499999999999993"/>
    <x v="3"/>
    <n v="14"/>
    <x v="27"/>
    <x v="0"/>
    <n v="9.9499999999999993"/>
    <b v="1"/>
  </r>
  <r>
    <s v="ORD-00837"/>
    <x v="128"/>
    <s v="21:50"/>
    <x v="1"/>
    <x v="3"/>
    <x v="2"/>
    <n v="3"/>
    <n v="8.5"/>
    <n v="25.5"/>
    <x v="0"/>
    <n v="26"/>
    <x v="17"/>
    <x v="0"/>
    <n v="25.5"/>
    <b v="1"/>
  </r>
  <r>
    <s v="ORD-00838"/>
    <x v="5"/>
    <s v="13:30"/>
    <x v="0"/>
    <x v="17"/>
    <x v="0"/>
    <n v="1"/>
    <n v="15.95"/>
    <n v="15.95"/>
    <x v="1"/>
    <n v="25"/>
    <x v="10"/>
    <x v="0"/>
    <n v="15.95"/>
    <b v="1"/>
  </r>
  <r>
    <s v="ORD-00839"/>
    <x v="190"/>
    <s v="17:50"/>
    <x v="1"/>
    <x v="1"/>
    <x v="1"/>
    <n v="4"/>
    <n v="3.1"/>
    <n v="12.4"/>
    <x v="3"/>
    <n v="18"/>
    <x v="11"/>
    <x v="0"/>
    <n v="12.4"/>
    <b v="1"/>
  </r>
  <r>
    <s v="ORD-00840"/>
    <x v="41"/>
    <s v="17:20"/>
    <x v="1"/>
    <x v="1"/>
    <x v="1"/>
    <n v="2"/>
    <n v="3.1"/>
    <n v="6.2"/>
    <x v="0"/>
    <n v="23"/>
    <x v="20"/>
    <x v="0"/>
    <n v="6.2"/>
    <b v="1"/>
  </r>
  <r>
    <s v="ORD-00841"/>
    <x v="203"/>
    <s v="21:45"/>
    <x v="1"/>
    <x v="15"/>
    <x v="3"/>
    <n v="2"/>
    <n v="5.75"/>
    <n v="11.5"/>
    <x v="1"/>
    <n v="10"/>
    <x v="10"/>
    <x v="0"/>
    <n v="11.5"/>
    <b v="1"/>
  </r>
  <r>
    <s v="ORD-00842"/>
    <x v="152"/>
    <s v="22:55"/>
    <x v="1"/>
    <x v="8"/>
    <x v="0"/>
    <n v="1"/>
    <n v="14.5"/>
    <n v="14.5"/>
    <x v="1"/>
    <n v="10"/>
    <x v="6"/>
    <x v="0"/>
    <n v="14.5"/>
    <b v="1"/>
  </r>
  <r>
    <s v="ORD-00843"/>
    <x v="157"/>
    <s v="21:25"/>
    <x v="1"/>
    <x v="17"/>
    <x v="0"/>
    <n v="1"/>
    <n v="15.95"/>
    <n v="15.95"/>
    <x v="1"/>
    <n v="25"/>
    <x v="10"/>
    <x v="0"/>
    <n v="15.95"/>
    <b v="1"/>
  </r>
  <r>
    <s v="ORD-00844"/>
    <x v="17"/>
    <s v="17:55"/>
    <x v="1"/>
    <x v="13"/>
    <x v="0"/>
    <n v="2"/>
    <n v="13.5"/>
    <n v="27"/>
    <x v="0"/>
    <n v="21"/>
    <x v="8"/>
    <x v="0"/>
    <n v="27"/>
    <b v="1"/>
  </r>
  <r>
    <s v="ORD-00845"/>
    <x v="43"/>
    <s v="11:35"/>
    <x v="0"/>
    <x v="19"/>
    <x v="2"/>
    <n v="1"/>
    <n v="7.95"/>
    <n v="7.95"/>
    <x v="0"/>
    <n v="26"/>
    <x v="11"/>
    <x v="0"/>
    <n v="7.95"/>
    <b v="1"/>
  </r>
  <r>
    <s v="ORD-00846"/>
    <x v="161"/>
    <s v="13:50"/>
    <x v="0"/>
    <x v="18"/>
    <x v="1"/>
    <n v="2"/>
    <n v="6.5"/>
    <n v="13"/>
    <x v="0"/>
    <n v="13"/>
    <x v="14"/>
    <x v="0"/>
    <n v="13"/>
    <b v="1"/>
  </r>
  <r>
    <s v="ORD-00847"/>
    <x v="51"/>
    <s v="15:45"/>
    <x v="0"/>
    <x v="11"/>
    <x v="0"/>
    <n v="2"/>
    <n v="12.5"/>
    <n v="25"/>
    <x v="2"/>
    <n v="14"/>
    <x v="9"/>
    <x v="0"/>
    <n v="25"/>
    <b v="1"/>
  </r>
  <r>
    <s v="ORD-00848"/>
    <x v="75"/>
    <s v="14:10"/>
    <x v="0"/>
    <x v="16"/>
    <x v="1"/>
    <n v="1"/>
    <n v="3.25"/>
    <n v="3.25"/>
    <x v="0"/>
    <n v="12"/>
    <x v="22"/>
    <x v="0"/>
    <n v="3.25"/>
    <b v="1"/>
  </r>
  <r>
    <s v="ORD-00849"/>
    <x v="82"/>
    <s v="21:30"/>
    <x v="1"/>
    <x v="6"/>
    <x v="2"/>
    <n v="2"/>
    <n v="5.5"/>
    <n v="11"/>
    <x v="3"/>
    <n v="30"/>
    <x v="2"/>
    <x v="0"/>
    <n v="11"/>
    <b v="1"/>
  </r>
  <r>
    <s v="ORD-00850"/>
    <x v="73"/>
    <s v="18:40"/>
    <x v="1"/>
    <x v="8"/>
    <x v="0"/>
    <n v="1"/>
    <n v="14.5"/>
    <n v="14.5"/>
    <x v="3"/>
    <n v="5"/>
    <x v="6"/>
    <x v="0"/>
    <n v="14.5"/>
    <b v="1"/>
  </r>
  <r>
    <s v="ORD-00851"/>
    <x v="106"/>
    <s v="17:55"/>
    <x v="1"/>
    <x v="11"/>
    <x v="0"/>
    <n v="1"/>
    <n v="12.5"/>
    <n v="12.5"/>
    <x v="3"/>
    <n v="12"/>
    <x v="19"/>
    <x v="0"/>
    <n v="12.5"/>
    <b v="1"/>
  </r>
  <r>
    <s v="ORD-00852"/>
    <x v="135"/>
    <s v="20:05"/>
    <x v="1"/>
    <x v="10"/>
    <x v="0"/>
    <n v="1"/>
    <n v="11.95"/>
    <n v="11.95"/>
    <x v="0"/>
    <n v="2"/>
    <x v="11"/>
    <x v="0"/>
    <n v="11.95"/>
    <b v="1"/>
  </r>
  <r>
    <s v="ORD-00853"/>
    <x v="135"/>
    <s v="13:20"/>
    <x v="0"/>
    <x v="19"/>
    <x v="2"/>
    <n v="1"/>
    <n v="7.95"/>
    <n v="7.95"/>
    <x v="3"/>
    <n v="2"/>
    <x v="13"/>
    <x v="0"/>
    <n v="7.95"/>
    <b v="1"/>
  </r>
  <r>
    <s v="ORD-00854"/>
    <x v="211"/>
    <s v="18:10"/>
    <x v="1"/>
    <x v="16"/>
    <x v="1"/>
    <n v="1"/>
    <n v="3.25"/>
    <n v="3.25"/>
    <x v="1"/>
    <n v="12"/>
    <x v="19"/>
    <x v="0"/>
    <n v="3.25"/>
    <b v="1"/>
  </r>
  <r>
    <s v="ORD-00855"/>
    <x v="199"/>
    <s v="21:20"/>
    <x v="1"/>
    <x v="18"/>
    <x v="1"/>
    <n v="1"/>
    <n v="6.5"/>
    <n v="6.5"/>
    <x v="2"/>
    <n v="24"/>
    <x v="2"/>
    <x v="0"/>
    <n v="6.5"/>
    <b v="1"/>
  </r>
  <r>
    <s v="ORD-00856"/>
    <x v="31"/>
    <s v="21:50"/>
    <x v="1"/>
    <x v="15"/>
    <x v="3"/>
    <n v="2"/>
    <n v="5.75"/>
    <n v="11.5"/>
    <x v="1"/>
    <n v="15"/>
    <x v="14"/>
    <x v="0"/>
    <n v="11.5"/>
    <b v="1"/>
  </r>
  <r>
    <s v="ORD-00857"/>
    <x v="108"/>
    <s v="15:50"/>
    <x v="0"/>
    <x v="9"/>
    <x v="1"/>
    <n v="1"/>
    <n v="3.75"/>
    <n v="3.75"/>
    <x v="3"/>
    <n v="2"/>
    <x v="14"/>
    <x v="0"/>
    <n v="3.75"/>
    <b v="1"/>
  </r>
  <r>
    <s v="ORD-00858"/>
    <x v="83"/>
    <s v="22:05"/>
    <x v="1"/>
    <x v="17"/>
    <x v="0"/>
    <n v="2"/>
    <n v="15.95"/>
    <n v="31.9"/>
    <x v="2"/>
    <n v="21"/>
    <x v="10"/>
    <x v="0"/>
    <n v="31.9"/>
    <b v="1"/>
  </r>
  <r>
    <s v="ORD-00859"/>
    <x v="111"/>
    <s v="17:50"/>
    <x v="1"/>
    <x v="4"/>
    <x v="1"/>
    <n v="1"/>
    <n v="2.8"/>
    <n v="2.8"/>
    <x v="0"/>
    <n v="19"/>
    <x v="30"/>
    <x v="0"/>
    <n v="2.8"/>
    <b v="1"/>
  </r>
  <r>
    <s v="ORD-00860"/>
    <x v="67"/>
    <s v="17:05"/>
    <x v="1"/>
    <x v="4"/>
    <x v="1"/>
    <n v="1"/>
    <n v="2.8"/>
    <n v="2.8"/>
    <x v="2"/>
    <n v="9"/>
    <x v="0"/>
    <x v="0"/>
    <n v="2.8"/>
    <b v="1"/>
  </r>
  <r>
    <s v="ORD-00861"/>
    <x v="7"/>
    <s v="21:35"/>
    <x v="1"/>
    <x v="5"/>
    <x v="0"/>
    <n v="2"/>
    <n v="12.95"/>
    <n v="25.9"/>
    <x v="3"/>
    <n v="16"/>
    <x v="10"/>
    <x v="0"/>
    <n v="25.9"/>
    <b v="1"/>
  </r>
  <r>
    <s v="ORD-00862"/>
    <x v="158"/>
    <s v="12:30"/>
    <x v="0"/>
    <x v="2"/>
    <x v="0"/>
    <n v="2"/>
    <n v="11.5"/>
    <n v="23"/>
    <x v="1"/>
    <n v="13"/>
    <x v="21"/>
    <x v="0"/>
    <n v="23"/>
    <b v="1"/>
  </r>
  <r>
    <s v="ORD-00863"/>
    <x v="59"/>
    <s v="21:10"/>
    <x v="1"/>
    <x v="19"/>
    <x v="2"/>
    <n v="1"/>
    <n v="7.95"/>
    <n v="7.95"/>
    <x v="0"/>
    <n v="14"/>
    <x v="17"/>
    <x v="0"/>
    <n v="7.95"/>
    <b v="1"/>
  </r>
  <r>
    <s v="ORD-00864"/>
    <x v="168"/>
    <s v="19:10"/>
    <x v="1"/>
    <x v="2"/>
    <x v="0"/>
    <n v="2"/>
    <n v="11.5"/>
    <n v="23"/>
    <x v="1"/>
    <n v="13"/>
    <x v="10"/>
    <x v="0"/>
    <n v="23"/>
    <b v="1"/>
  </r>
  <r>
    <s v="ORD-00865"/>
    <x v="112"/>
    <s v="19:20"/>
    <x v="1"/>
    <x v="7"/>
    <x v="3"/>
    <n v="3"/>
    <n v="6.95"/>
    <n v="20.85"/>
    <x v="0"/>
    <n v="20"/>
    <x v="18"/>
    <x v="0"/>
    <n v="20.85"/>
    <b v="1"/>
  </r>
  <r>
    <s v="ORD-00866"/>
    <x v="78"/>
    <s v="21:30"/>
    <x v="1"/>
    <x v="10"/>
    <x v="0"/>
    <n v="1"/>
    <n v="11.95"/>
    <n v="11.95"/>
    <x v="0"/>
    <n v="15"/>
    <x v="13"/>
    <x v="0"/>
    <n v="11.95"/>
    <b v="1"/>
  </r>
  <r>
    <s v="ORD-00867"/>
    <x v="72"/>
    <s v="20:50"/>
    <x v="1"/>
    <x v="0"/>
    <x v="0"/>
    <n v="3"/>
    <n v="9.9499999999999993"/>
    <n v="29.85"/>
    <x v="1"/>
    <n v="22"/>
    <x v="20"/>
    <x v="0"/>
    <n v="29.849999999999998"/>
    <b v="1"/>
  </r>
  <r>
    <s v="ORD-00868"/>
    <x v="70"/>
    <s v="14:35"/>
    <x v="0"/>
    <x v="5"/>
    <x v="0"/>
    <n v="2"/>
    <n v="12.95"/>
    <n v="25.9"/>
    <x v="2"/>
    <n v="7"/>
    <x v="28"/>
    <x v="0"/>
    <n v="25.9"/>
    <b v="1"/>
  </r>
  <r>
    <s v="ORD-00869"/>
    <x v="112"/>
    <s v="12:15"/>
    <x v="0"/>
    <x v="4"/>
    <x v="1"/>
    <n v="3"/>
    <n v="2.8"/>
    <n v="8.4"/>
    <x v="3"/>
    <n v="15"/>
    <x v="24"/>
    <x v="0"/>
    <n v="8.3999999999999986"/>
    <b v="1"/>
  </r>
  <r>
    <s v="ORD-00870"/>
    <x v="222"/>
    <s v="18:00"/>
    <x v="1"/>
    <x v="13"/>
    <x v="0"/>
    <n v="3"/>
    <n v="13.5"/>
    <n v="40.5"/>
    <x v="0"/>
    <n v="9"/>
    <x v="17"/>
    <x v="0"/>
    <n v="40.5"/>
    <b v="1"/>
  </r>
  <r>
    <s v="ORD-00871"/>
    <x v="57"/>
    <s v="22:15"/>
    <x v="1"/>
    <x v="18"/>
    <x v="1"/>
    <n v="2"/>
    <n v="6.5"/>
    <n v="13"/>
    <x v="1"/>
    <n v="19"/>
    <x v="6"/>
    <x v="0"/>
    <n v="13"/>
    <b v="1"/>
  </r>
  <r>
    <s v="ORD-00872"/>
    <x v="225"/>
    <s v="17:10"/>
    <x v="1"/>
    <x v="4"/>
    <x v="1"/>
    <n v="4"/>
    <n v="2.8"/>
    <n v="11.2"/>
    <x v="0"/>
    <n v="7"/>
    <x v="7"/>
    <x v="0"/>
    <n v="11.2"/>
    <b v="1"/>
  </r>
  <r>
    <s v="ORD-00873"/>
    <x v="246"/>
    <s v="19:50"/>
    <x v="1"/>
    <x v="6"/>
    <x v="2"/>
    <n v="4"/>
    <n v="5.5"/>
    <n v="22"/>
    <x v="1"/>
    <n v="11"/>
    <x v="7"/>
    <x v="0"/>
    <n v="22"/>
    <b v="1"/>
  </r>
  <r>
    <s v="ORD-00874"/>
    <x v="4"/>
    <s v="19:00"/>
    <x v="1"/>
    <x v="8"/>
    <x v="0"/>
    <n v="2"/>
    <n v="14.5"/>
    <n v="29"/>
    <x v="0"/>
    <n v="20"/>
    <x v="13"/>
    <x v="0"/>
    <n v="29"/>
    <b v="1"/>
  </r>
  <r>
    <s v="ORD-00875"/>
    <x v="36"/>
    <s v="20:40"/>
    <x v="1"/>
    <x v="16"/>
    <x v="1"/>
    <n v="2"/>
    <n v="3.25"/>
    <n v="6.5"/>
    <x v="1"/>
    <n v="21"/>
    <x v="21"/>
    <x v="0"/>
    <n v="6.5"/>
    <b v="1"/>
  </r>
  <r>
    <s v="ORD-00876"/>
    <x v="134"/>
    <s v="22:35"/>
    <x v="1"/>
    <x v="10"/>
    <x v="0"/>
    <n v="1"/>
    <n v="11.95"/>
    <n v="11.95"/>
    <x v="0"/>
    <n v="27"/>
    <x v="27"/>
    <x v="0"/>
    <n v="11.95"/>
    <b v="1"/>
  </r>
  <r>
    <s v="ORD-00877"/>
    <x v="264"/>
    <s v="11:05"/>
    <x v="0"/>
    <x v="15"/>
    <x v="3"/>
    <n v="1"/>
    <n v="5.75"/>
    <n v="5.75"/>
    <x v="2"/>
    <n v="1"/>
    <x v="9"/>
    <x v="0"/>
    <n v="5.75"/>
    <b v="1"/>
  </r>
  <r>
    <s v="ORD-00878"/>
    <x v="103"/>
    <s v="15:50"/>
    <x v="0"/>
    <x v="19"/>
    <x v="2"/>
    <n v="2"/>
    <n v="7.95"/>
    <n v="15.9"/>
    <x v="3"/>
    <n v="8"/>
    <x v="8"/>
    <x v="0"/>
    <n v="15.9"/>
    <b v="1"/>
  </r>
  <r>
    <s v="ORD-00879"/>
    <x v="224"/>
    <s v="14:55"/>
    <x v="0"/>
    <x v="9"/>
    <x v="1"/>
    <n v="1"/>
    <n v="3.75"/>
    <n v="3.75"/>
    <x v="3"/>
    <n v="4"/>
    <x v="8"/>
    <x v="0"/>
    <n v="3.75"/>
    <b v="1"/>
  </r>
  <r>
    <s v="ORD-00880"/>
    <x v="236"/>
    <s v="21:15"/>
    <x v="1"/>
    <x v="18"/>
    <x v="1"/>
    <n v="2"/>
    <n v="6.5"/>
    <n v="13"/>
    <x v="1"/>
    <n v="19"/>
    <x v="9"/>
    <x v="0"/>
    <n v="13"/>
    <b v="1"/>
  </r>
  <r>
    <s v="ORD-00881"/>
    <x v="44"/>
    <s v="18:20"/>
    <x v="1"/>
    <x v="18"/>
    <x v="1"/>
    <n v="2"/>
    <n v="6.5"/>
    <n v="13"/>
    <x v="0"/>
    <n v="28"/>
    <x v="9"/>
    <x v="0"/>
    <n v="13"/>
    <b v="1"/>
  </r>
  <r>
    <s v="ORD-00882"/>
    <x v="235"/>
    <s v="22:40"/>
    <x v="1"/>
    <x v="15"/>
    <x v="3"/>
    <n v="1"/>
    <n v="5.75"/>
    <n v="5.75"/>
    <x v="0"/>
    <n v="21"/>
    <x v="7"/>
    <x v="0"/>
    <n v="5.75"/>
    <b v="1"/>
  </r>
  <r>
    <s v="ORD-00883"/>
    <x v="145"/>
    <s v="19:30"/>
    <x v="1"/>
    <x v="12"/>
    <x v="3"/>
    <n v="1"/>
    <n v="7.25"/>
    <n v="7.25"/>
    <x v="2"/>
    <n v="17"/>
    <x v="14"/>
    <x v="0"/>
    <n v="7.25"/>
    <b v="1"/>
  </r>
  <r>
    <s v="ORD-00884"/>
    <x v="216"/>
    <s v="14:40"/>
    <x v="0"/>
    <x v="15"/>
    <x v="3"/>
    <n v="1"/>
    <n v="5.75"/>
    <n v="5.75"/>
    <x v="1"/>
    <n v="7"/>
    <x v="7"/>
    <x v="0"/>
    <n v="5.75"/>
    <b v="1"/>
  </r>
  <r>
    <s v="ORD-00885"/>
    <x v="265"/>
    <s v="18:55"/>
    <x v="1"/>
    <x v="12"/>
    <x v="3"/>
    <n v="3"/>
    <n v="7.25"/>
    <n v="21.75"/>
    <x v="0"/>
    <n v="3"/>
    <x v="13"/>
    <x v="0"/>
    <n v="21.75"/>
    <b v="1"/>
  </r>
  <r>
    <s v="ORD-00886"/>
    <x v="143"/>
    <s v="14:00"/>
    <x v="0"/>
    <x v="18"/>
    <x v="1"/>
    <n v="2"/>
    <n v="6.5"/>
    <n v="13"/>
    <x v="1"/>
    <n v="27"/>
    <x v="2"/>
    <x v="0"/>
    <n v="13"/>
    <b v="1"/>
  </r>
  <r>
    <s v="ORD-00887"/>
    <x v="181"/>
    <s v="19:00"/>
    <x v="1"/>
    <x v="14"/>
    <x v="2"/>
    <n v="1"/>
    <n v="6.25"/>
    <n v="6.25"/>
    <x v="0"/>
    <n v="20"/>
    <x v="25"/>
    <x v="0"/>
    <n v="6.25"/>
    <b v="1"/>
  </r>
  <r>
    <s v="ORD-00888"/>
    <x v="154"/>
    <s v="21:05"/>
    <x v="1"/>
    <x v="5"/>
    <x v="0"/>
    <n v="4"/>
    <n v="12.95"/>
    <n v="51.8"/>
    <x v="1"/>
    <n v="13"/>
    <x v="10"/>
    <x v="0"/>
    <n v="51.8"/>
    <b v="1"/>
  </r>
  <r>
    <s v="ORD-00889"/>
    <x v="72"/>
    <s v="17:35"/>
    <x v="1"/>
    <x v="13"/>
    <x v="0"/>
    <n v="1"/>
    <n v="13.5"/>
    <n v="13.5"/>
    <x v="0"/>
    <n v="2"/>
    <x v="8"/>
    <x v="0"/>
    <n v="13.5"/>
    <b v="1"/>
  </r>
  <r>
    <s v="ORD-00890"/>
    <x v="92"/>
    <s v="20:05"/>
    <x v="1"/>
    <x v="9"/>
    <x v="1"/>
    <n v="2"/>
    <n v="3.75"/>
    <n v="7.5"/>
    <x v="0"/>
    <n v="28"/>
    <x v="2"/>
    <x v="0"/>
    <n v="7.5"/>
    <b v="1"/>
  </r>
  <r>
    <s v="ORD-00891"/>
    <x v="66"/>
    <s v="20:30"/>
    <x v="1"/>
    <x v="9"/>
    <x v="1"/>
    <n v="2"/>
    <n v="3.75"/>
    <n v="7.5"/>
    <x v="0"/>
    <n v="1"/>
    <x v="4"/>
    <x v="0"/>
    <n v="7.5"/>
    <b v="1"/>
  </r>
  <r>
    <s v="ORD-00892"/>
    <x v="118"/>
    <s v="17:05"/>
    <x v="1"/>
    <x v="2"/>
    <x v="0"/>
    <n v="2"/>
    <n v="11.5"/>
    <n v="23"/>
    <x v="2"/>
    <n v="19"/>
    <x v="9"/>
    <x v="0"/>
    <n v="23"/>
    <b v="1"/>
  </r>
  <r>
    <s v="ORD-00893"/>
    <x v="115"/>
    <s v="18:50"/>
    <x v="1"/>
    <x v="1"/>
    <x v="1"/>
    <n v="1"/>
    <n v="3.1"/>
    <n v="3.1"/>
    <x v="1"/>
    <n v="6"/>
    <x v="3"/>
    <x v="0"/>
    <n v="3.1"/>
    <b v="1"/>
  </r>
  <r>
    <s v="ORD-00894"/>
    <x v="199"/>
    <s v="13:45"/>
    <x v="0"/>
    <x v="12"/>
    <x v="3"/>
    <n v="1"/>
    <n v="7.25"/>
    <n v="7.25"/>
    <x v="0"/>
    <n v="25"/>
    <x v="10"/>
    <x v="0"/>
    <n v="7.25"/>
    <b v="1"/>
  </r>
  <r>
    <s v="ORD-00895"/>
    <x v="167"/>
    <s v="13:45"/>
    <x v="0"/>
    <x v="14"/>
    <x v="2"/>
    <n v="1"/>
    <n v="6.25"/>
    <n v="6.25"/>
    <x v="1"/>
    <n v="5"/>
    <x v="4"/>
    <x v="0"/>
    <n v="6.25"/>
    <b v="1"/>
  </r>
  <r>
    <s v="ORD-00896"/>
    <x v="130"/>
    <s v="21:00"/>
    <x v="1"/>
    <x v="12"/>
    <x v="3"/>
    <n v="1"/>
    <n v="7.25"/>
    <n v="7.25"/>
    <x v="3"/>
    <n v="21"/>
    <x v="19"/>
    <x v="0"/>
    <n v="7.25"/>
    <b v="1"/>
  </r>
  <r>
    <s v="ORD-00897"/>
    <x v="5"/>
    <s v="14:55"/>
    <x v="0"/>
    <x v="15"/>
    <x v="3"/>
    <n v="2"/>
    <n v="5.75"/>
    <n v="11.5"/>
    <x v="0"/>
    <n v="11"/>
    <x v="17"/>
    <x v="0"/>
    <n v="11.5"/>
    <b v="1"/>
  </r>
  <r>
    <s v="ORD-00898"/>
    <x v="2"/>
    <s v="11:35"/>
    <x v="0"/>
    <x v="13"/>
    <x v="0"/>
    <n v="1"/>
    <n v="13.5"/>
    <n v="13.5"/>
    <x v="1"/>
    <n v="21"/>
    <x v="22"/>
    <x v="0"/>
    <n v="13.5"/>
    <b v="1"/>
  </r>
  <r>
    <s v="ORD-00899"/>
    <x v="79"/>
    <s v="18:15"/>
    <x v="1"/>
    <x v="16"/>
    <x v="1"/>
    <n v="2"/>
    <n v="3.25"/>
    <n v="6.5"/>
    <x v="1"/>
    <n v="13"/>
    <x v="7"/>
    <x v="0"/>
    <n v="6.5"/>
    <b v="1"/>
  </r>
  <r>
    <s v="ORD-00900"/>
    <x v="230"/>
    <s v="11:25"/>
    <x v="0"/>
    <x v="2"/>
    <x v="0"/>
    <n v="1"/>
    <n v="11.5"/>
    <n v="11.5"/>
    <x v="0"/>
    <n v="10"/>
    <x v="0"/>
    <x v="0"/>
    <n v="11.5"/>
    <b v="1"/>
  </r>
  <r>
    <s v="ORD-00901"/>
    <x v="178"/>
    <s v="11:15"/>
    <x v="0"/>
    <x v="11"/>
    <x v="0"/>
    <n v="1"/>
    <n v="12.5"/>
    <n v="12.5"/>
    <x v="2"/>
    <n v="11"/>
    <x v="21"/>
    <x v="0"/>
    <n v="12.5"/>
    <b v="1"/>
  </r>
  <r>
    <s v="ORD-00902"/>
    <x v="7"/>
    <s v="11:10"/>
    <x v="0"/>
    <x v="6"/>
    <x v="2"/>
    <n v="3"/>
    <n v="5.5"/>
    <n v="16.5"/>
    <x v="0"/>
    <n v="27"/>
    <x v="22"/>
    <x v="0"/>
    <n v="16.5"/>
    <b v="1"/>
  </r>
  <r>
    <s v="ORD-00903"/>
    <x v="57"/>
    <s v="17:25"/>
    <x v="1"/>
    <x v="11"/>
    <x v="0"/>
    <n v="1"/>
    <n v="12.5"/>
    <n v="12.5"/>
    <x v="3"/>
    <n v="6"/>
    <x v="10"/>
    <x v="0"/>
    <n v="12.5"/>
    <b v="1"/>
  </r>
  <r>
    <s v="ORD-00904"/>
    <x v="13"/>
    <s v="17:05"/>
    <x v="1"/>
    <x v="8"/>
    <x v="0"/>
    <n v="3"/>
    <n v="14.5"/>
    <n v="43.5"/>
    <x v="1"/>
    <n v="26"/>
    <x v="18"/>
    <x v="0"/>
    <n v="43.5"/>
    <b v="1"/>
  </r>
  <r>
    <s v="ORD-00905"/>
    <x v="235"/>
    <s v="13:25"/>
    <x v="0"/>
    <x v="9"/>
    <x v="1"/>
    <n v="1"/>
    <n v="3.75"/>
    <n v="3.75"/>
    <x v="0"/>
    <n v="20"/>
    <x v="22"/>
    <x v="0"/>
    <n v="3.75"/>
    <b v="1"/>
  </r>
  <r>
    <s v="ORD-00906"/>
    <x v="92"/>
    <s v="19:15"/>
    <x v="1"/>
    <x v="13"/>
    <x v="0"/>
    <n v="2"/>
    <n v="13.5"/>
    <n v="27"/>
    <x v="1"/>
    <n v="28"/>
    <x v="13"/>
    <x v="0"/>
    <n v="27"/>
    <b v="1"/>
  </r>
  <r>
    <s v="ORD-00907"/>
    <x v="266"/>
    <s v="20:15"/>
    <x v="1"/>
    <x v="5"/>
    <x v="0"/>
    <n v="2"/>
    <n v="12.95"/>
    <n v="25.9"/>
    <x v="2"/>
    <n v="13"/>
    <x v="8"/>
    <x v="0"/>
    <n v="25.9"/>
    <b v="1"/>
  </r>
  <r>
    <s v="ORD-00908"/>
    <x v="266"/>
    <s v="15:35"/>
    <x v="0"/>
    <x v="17"/>
    <x v="0"/>
    <n v="1"/>
    <n v="15.95"/>
    <n v="15.95"/>
    <x v="0"/>
    <n v="17"/>
    <x v="14"/>
    <x v="0"/>
    <n v="15.95"/>
    <b v="1"/>
  </r>
  <r>
    <s v="ORD-00909"/>
    <x v="65"/>
    <s v="21:30"/>
    <x v="1"/>
    <x v="18"/>
    <x v="1"/>
    <n v="2"/>
    <n v="6.5"/>
    <n v="13"/>
    <x v="1"/>
    <n v="28"/>
    <x v="14"/>
    <x v="0"/>
    <n v="13"/>
    <b v="1"/>
  </r>
  <r>
    <s v="ORD-00910"/>
    <x v="166"/>
    <s v="14:45"/>
    <x v="0"/>
    <x v="17"/>
    <x v="0"/>
    <n v="3"/>
    <n v="15.95"/>
    <n v="47.85"/>
    <x v="0"/>
    <n v="9"/>
    <x v="19"/>
    <x v="0"/>
    <n v="47.849999999999994"/>
    <b v="1"/>
  </r>
  <r>
    <s v="ORD-00911"/>
    <x v="160"/>
    <s v="19:35"/>
    <x v="1"/>
    <x v="1"/>
    <x v="1"/>
    <n v="1"/>
    <n v="3.1"/>
    <n v="3.1"/>
    <x v="0"/>
    <n v="11"/>
    <x v="19"/>
    <x v="0"/>
    <n v="3.1"/>
    <b v="1"/>
  </r>
  <r>
    <s v="ORD-00912"/>
    <x v="263"/>
    <s v="19:35"/>
    <x v="1"/>
    <x v="14"/>
    <x v="2"/>
    <n v="1"/>
    <n v="6.25"/>
    <n v="6.25"/>
    <x v="0"/>
    <n v="6"/>
    <x v="13"/>
    <x v="0"/>
    <n v="6.25"/>
    <b v="1"/>
  </r>
  <r>
    <s v="ORD-00913"/>
    <x v="90"/>
    <s v="19:05"/>
    <x v="1"/>
    <x v="19"/>
    <x v="2"/>
    <n v="2"/>
    <n v="7.95"/>
    <n v="15.9"/>
    <x v="3"/>
    <n v="9"/>
    <x v="8"/>
    <x v="0"/>
    <n v="15.9"/>
    <b v="1"/>
  </r>
  <r>
    <s v="ORD-00914"/>
    <x v="22"/>
    <s v="13:00"/>
    <x v="0"/>
    <x v="4"/>
    <x v="1"/>
    <n v="1"/>
    <n v="2.8"/>
    <n v="2.8"/>
    <x v="1"/>
    <n v="22"/>
    <x v="24"/>
    <x v="0"/>
    <n v="2.8"/>
    <b v="1"/>
  </r>
  <r>
    <s v="ORD-00915"/>
    <x v="32"/>
    <s v="22:20"/>
    <x v="1"/>
    <x v="11"/>
    <x v="0"/>
    <n v="2"/>
    <n v="12.5"/>
    <n v="25"/>
    <x v="0"/>
    <n v="24"/>
    <x v="26"/>
    <x v="0"/>
    <n v="25"/>
    <b v="1"/>
  </r>
  <r>
    <s v="ORD-00916"/>
    <x v="221"/>
    <s v="13:20"/>
    <x v="0"/>
    <x v="3"/>
    <x v="2"/>
    <n v="2"/>
    <n v="8.5"/>
    <n v="17"/>
    <x v="2"/>
    <n v="13"/>
    <x v="7"/>
    <x v="0"/>
    <n v="17"/>
    <b v="1"/>
  </r>
  <r>
    <s v="ORD-00917"/>
    <x v="192"/>
    <s v="21:10"/>
    <x v="1"/>
    <x v="7"/>
    <x v="3"/>
    <n v="1"/>
    <n v="6.95"/>
    <n v="6.95"/>
    <x v="0"/>
    <n v="17"/>
    <x v="19"/>
    <x v="0"/>
    <n v="6.95"/>
    <b v="1"/>
  </r>
  <r>
    <s v="ORD-00918"/>
    <x v="263"/>
    <s v="20:25"/>
    <x v="1"/>
    <x v="5"/>
    <x v="0"/>
    <n v="1"/>
    <n v="12.95"/>
    <n v="12.95"/>
    <x v="2"/>
    <n v="14"/>
    <x v="14"/>
    <x v="0"/>
    <n v="12.95"/>
    <b v="1"/>
  </r>
  <r>
    <s v="ORD-00919"/>
    <x v="73"/>
    <s v="14:40"/>
    <x v="0"/>
    <x v="2"/>
    <x v="0"/>
    <n v="1"/>
    <n v="11.5"/>
    <n v="11.5"/>
    <x v="1"/>
    <n v="24"/>
    <x v="19"/>
    <x v="0"/>
    <n v="11.5"/>
    <b v="1"/>
  </r>
  <r>
    <s v="ORD-00920"/>
    <x v="242"/>
    <s v="14:30"/>
    <x v="0"/>
    <x v="7"/>
    <x v="3"/>
    <n v="2"/>
    <n v="6.95"/>
    <n v="13.9"/>
    <x v="1"/>
    <n v="18"/>
    <x v="9"/>
    <x v="0"/>
    <n v="13.9"/>
    <b v="1"/>
  </r>
  <r>
    <s v="ORD-00921"/>
    <x v="158"/>
    <s v="17:10"/>
    <x v="1"/>
    <x v="8"/>
    <x v="0"/>
    <n v="4"/>
    <n v="14.5"/>
    <n v="58"/>
    <x v="0"/>
    <n v="30"/>
    <x v="0"/>
    <x v="0"/>
    <n v="58"/>
    <b v="1"/>
  </r>
  <r>
    <s v="ORD-00922"/>
    <x v="191"/>
    <s v="18:30"/>
    <x v="1"/>
    <x v="5"/>
    <x v="0"/>
    <n v="1"/>
    <n v="12.95"/>
    <n v="12.95"/>
    <x v="1"/>
    <n v="16"/>
    <x v="7"/>
    <x v="0"/>
    <n v="12.95"/>
    <b v="1"/>
  </r>
  <r>
    <s v="ORD-00923"/>
    <x v="232"/>
    <s v="19:05"/>
    <x v="1"/>
    <x v="17"/>
    <x v="0"/>
    <n v="1"/>
    <n v="15.95"/>
    <n v="15.95"/>
    <x v="0"/>
    <n v="20"/>
    <x v="18"/>
    <x v="0"/>
    <n v="15.95"/>
    <b v="1"/>
  </r>
  <r>
    <s v="ORD-00924"/>
    <x v="205"/>
    <s v="14:20"/>
    <x v="0"/>
    <x v="11"/>
    <x v="0"/>
    <n v="1"/>
    <n v="12.5"/>
    <n v="12.5"/>
    <x v="1"/>
    <n v="17"/>
    <x v="23"/>
    <x v="0"/>
    <n v="12.5"/>
    <b v="1"/>
  </r>
  <r>
    <s v="ORD-00925"/>
    <x v="233"/>
    <s v="11:10"/>
    <x v="0"/>
    <x v="14"/>
    <x v="2"/>
    <n v="2"/>
    <n v="6.25"/>
    <n v="12.5"/>
    <x v="0"/>
    <n v="5"/>
    <x v="11"/>
    <x v="0"/>
    <n v="12.5"/>
    <b v="1"/>
  </r>
  <r>
    <s v="ORD-00926"/>
    <x v="147"/>
    <s v="20:15"/>
    <x v="1"/>
    <x v="8"/>
    <x v="0"/>
    <n v="2"/>
    <n v="14.5"/>
    <n v="29"/>
    <x v="2"/>
    <n v="14"/>
    <x v="28"/>
    <x v="0"/>
    <n v="29"/>
    <b v="1"/>
  </r>
  <r>
    <s v="ORD-00927"/>
    <x v="67"/>
    <s v="15:20"/>
    <x v="0"/>
    <x v="18"/>
    <x v="1"/>
    <n v="1"/>
    <n v="6.5"/>
    <n v="6.5"/>
    <x v="3"/>
    <n v="1"/>
    <x v="4"/>
    <x v="0"/>
    <n v="6.5"/>
    <b v="1"/>
  </r>
  <r>
    <s v="ORD-00928"/>
    <x v="155"/>
    <s v="14:45"/>
    <x v="0"/>
    <x v="0"/>
    <x v="0"/>
    <n v="1"/>
    <n v="9.9499999999999993"/>
    <n v="9.9499999999999993"/>
    <x v="0"/>
    <n v="29"/>
    <x v="5"/>
    <x v="0"/>
    <n v="9.9499999999999993"/>
    <b v="1"/>
  </r>
  <r>
    <s v="ORD-00929"/>
    <x v="85"/>
    <s v="22:05"/>
    <x v="1"/>
    <x v="19"/>
    <x v="2"/>
    <n v="2"/>
    <n v="7.95"/>
    <n v="15.9"/>
    <x v="1"/>
    <n v="26"/>
    <x v="14"/>
    <x v="0"/>
    <n v="15.9"/>
    <b v="1"/>
  </r>
  <r>
    <s v="ORD-00930"/>
    <x v="137"/>
    <s v="18:45"/>
    <x v="1"/>
    <x v="12"/>
    <x v="3"/>
    <n v="1"/>
    <n v="7.25"/>
    <n v="7.25"/>
    <x v="0"/>
    <n v="6"/>
    <x v="25"/>
    <x v="0"/>
    <n v="7.25"/>
    <b v="1"/>
  </r>
  <r>
    <s v="ORD-00931"/>
    <x v="154"/>
    <s v="17:15"/>
    <x v="1"/>
    <x v="17"/>
    <x v="0"/>
    <n v="1"/>
    <n v="15.95"/>
    <n v="15.95"/>
    <x v="0"/>
    <n v="3"/>
    <x v="5"/>
    <x v="0"/>
    <n v="15.95"/>
    <b v="1"/>
  </r>
  <r>
    <s v="ORD-00932"/>
    <x v="166"/>
    <s v="20:40"/>
    <x v="1"/>
    <x v="10"/>
    <x v="0"/>
    <n v="4"/>
    <n v="11.95"/>
    <n v="47.8"/>
    <x v="1"/>
    <n v="25"/>
    <x v="8"/>
    <x v="0"/>
    <n v="47.8"/>
    <b v="1"/>
  </r>
  <r>
    <s v="ORD-00933"/>
    <x v="108"/>
    <s v="18:20"/>
    <x v="1"/>
    <x v="11"/>
    <x v="0"/>
    <n v="1"/>
    <n v="12.5"/>
    <n v="12.5"/>
    <x v="0"/>
    <n v="22"/>
    <x v="15"/>
    <x v="0"/>
    <n v="12.5"/>
    <b v="1"/>
  </r>
  <r>
    <s v="ORD-00934"/>
    <x v="219"/>
    <s v="14:15"/>
    <x v="0"/>
    <x v="7"/>
    <x v="3"/>
    <n v="1"/>
    <n v="6.95"/>
    <n v="6.95"/>
    <x v="0"/>
    <n v="4"/>
    <x v="8"/>
    <x v="0"/>
    <n v="6.95"/>
    <b v="1"/>
  </r>
  <r>
    <s v="ORD-00935"/>
    <x v="237"/>
    <s v="14:35"/>
    <x v="0"/>
    <x v="15"/>
    <x v="3"/>
    <n v="1"/>
    <n v="5.75"/>
    <n v="5.75"/>
    <x v="1"/>
    <n v="15"/>
    <x v="0"/>
    <x v="0"/>
    <n v="5.75"/>
    <b v="1"/>
  </r>
  <r>
    <s v="ORD-00936"/>
    <x v="20"/>
    <s v="18:00"/>
    <x v="1"/>
    <x v="9"/>
    <x v="1"/>
    <n v="1"/>
    <n v="3.75"/>
    <n v="3.75"/>
    <x v="0"/>
    <n v="4"/>
    <x v="11"/>
    <x v="0"/>
    <n v="3.75"/>
    <b v="1"/>
  </r>
  <r>
    <s v="ORD-00937"/>
    <x v="191"/>
    <s v="11:50"/>
    <x v="0"/>
    <x v="6"/>
    <x v="2"/>
    <n v="1"/>
    <n v="5.5"/>
    <n v="5.5"/>
    <x v="0"/>
    <n v="29"/>
    <x v="17"/>
    <x v="0"/>
    <n v="5.5"/>
    <b v="1"/>
  </r>
  <r>
    <s v="ORD-00938"/>
    <x v="109"/>
    <s v="17:50"/>
    <x v="1"/>
    <x v="1"/>
    <x v="1"/>
    <n v="2"/>
    <n v="3.1"/>
    <n v="6.2"/>
    <x v="3"/>
    <n v="22"/>
    <x v="13"/>
    <x v="0"/>
    <n v="6.2"/>
    <b v="1"/>
  </r>
  <r>
    <s v="ORD-00939"/>
    <x v="25"/>
    <s v="20:00"/>
    <x v="1"/>
    <x v="9"/>
    <x v="1"/>
    <n v="1"/>
    <n v="3.75"/>
    <n v="-3.75"/>
    <x v="0"/>
    <n v="8"/>
    <x v="0"/>
    <x v="1"/>
    <n v="3.75"/>
    <b v="1"/>
  </r>
  <r>
    <s v="ORD-00940"/>
    <x v="148"/>
    <s v="11:30"/>
    <x v="0"/>
    <x v="2"/>
    <x v="0"/>
    <n v="4"/>
    <n v="11.5"/>
    <n v="46"/>
    <x v="1"/>
    <n v="27"/>
    <x v="20"/>
    <x v="0"/>
    <n v="46"/>
    <b v="1"/>
  </r>
  <r>
    <s v="ORD-00941"/>
    <x v="53"/>
    <s v="11:50"/>
    <x v="0"/>
    <x v="17"/>
    <x v="0"/>
    <n v="2"/>
    <n v="15.95"/>
    <n v="31.9"/>
    <x v="1"/>
    <n v="11"/>
    <x v="14"/>
    <x v="0"/>
    <n v="31.9"/>
    <b v="1"/>
  </r>
  <r>
    <s v="ORD-00942"/>
    <x v="21"/>
    <s v="21:30"/>
    <x v="1"/>
    <x v="12"/>
    <x v="3"/>
    <n v="1"/>
    <n v="7.25"/>
    <n v="7.25"/>
    <x v="0"/>
    <n v="4"/>
    <x v="13"/>
    <x v="0"/>
    <n v="7.25"/>
    <b v="1"/>
  </r>
  <r>
    <s v="ORD-00943"/>
    <x v="184"/>
    <s v="13:00"/>
    <x v="0"/>
    <x v="7"/>
    <x v="3"/>
    <n v="1"/>
    <n v="6.95"/>
    <n v="6.95"/>
    <x v="0"/>
    <n v="21"/>
    <x v="23"/>
    <x v="0"/>
    <n v="6.95"/>
    <b v="1"/>
  </r>
  <r>
    <s v="ORD-00944"/>
    <x v="199"/>
    <s v="12:30"/>
    <x v="0"/>
    <x v="19"/>
    <x v="2"/>
    <n v="2"/>
    <n v="7.95"/>
    <n v="15.9"/>
    <x v="0"/>
    <n v="4"/>
    <x v="17"/>
    <x v="0"/>
    <n v="15.9"/>
    <b v="1"/>
  </r>
  <r>
    <s v="ORD-00945"/>
    <x v="93"/>
    <s v="11:45"/>
    <x v="0"/>
    <x v="14"/>
    <x v="2"/>
    <n v="4"/>
    <n v="6.25"/>
    <n v="25"/>
    <x v="0"/>
    <n v="25"/>
    <x v="11"/>
    <x v="0"/>
    <n v="25"/>
    <b v="1"/>
  </r>
  <r>
    <s v="ORD-00946"/>
    <x v="35"/>
    <s v="13:50"/>
    <x v="0"/>
    <x v="16"/>
    <x v="1"/>
    <n v="1"/>
    <n v="3.25"/>
    <n v="3.25"/>
    <x v="3"/>
    <n v="20"/>
    <x v="8"/>
    <x v="0"/>
    <n v="3.25"/>
    <b v="1"/>
  </r>
  <r>
    <s v="ORD-00947"/>
    <x v="123"/>
    <s v="22:55"/>
    <x v="1"/>
    <x v="0"/>
    <x v="0"/>
    <n v="1"/>
    <n v="9.9499999999999993"/>
    <n v="9.9499999999999993"/>
    <x v="2"/>
    <n v="20"/>
    <x v="18"/>
    <x v="0"/>
    <n v="9.9499999999999993"/>
    <b v="1"/>
  </r>
  <r>
    <s v="ORD-00948"/>
    <x v="43"/>
    <s v="14:15"/>
    <x v="0"/>
    <x v="9"/>
    <x v="1"/>
    <n v="1"/>
    <n v="3.75"/>
    <n v="3.75"/>
    <x v="0"/>
    <n v="12"/>
    <x v="24"/>
    <x v="0"/>
    <n v="3.75"/>
    <b v="1"/>
  </r>
  <r>
    <s v="ORD-00949"/>
    <x v="251"/>
    <s v="12:50"/>
    <x v="0"/>
    <x v="13"/>
    <x v="0"/>
    <n v="1"/>
    <n v="13.5"/>
    <n v="13.5"/>
    <x v="3"/>
    <n v="24"/>
    <x v="11"/>
    <x v="0"/>
    <n v="13.5"/>
    <b v="1"/>
  </r>
  <r>
    <s v="ORD-00950"/>
    <x v="160"/>
    <s v="11:40"/>
    <x v="0"/>
    <x v="12"/>
    <x v="3"/>
    <n v="2"/>
    <n v="7.25"/>
    <n v="14.5"/>
    <x v="1"/>
    <n v="25"/>
    <x v="4"/>
    <x v="0"/>
    <n v="14.5"/>
    <b v="1"/>
  </r>
  <r>
    <s v="ORD-00951"/>
    <x v="153"/>
    <s v="12:40"/>
    <x v="0"/>
    <x v="13"/>
    <x v="0"/>
    <n v="3"/>
    <n v="13.5"/>
    <n v="40.5"/>
    <x v="0"/>
    <n v="23"/>
    <x v="23"/>
    <x v="0"/>
    <n v="40.5"/>
    <b v="1"/>
  </r>
  <r>
    <s v="ORD-00952"/>
    <x v="219"/>
    <s v="18:35"/>
    <x v="1"/>
    <x v="2"/>
    <x v="0"/>
    <n v="1"/>
    <n v="11.5"/>
    <n v="11.5"/>
    <x v="3"/>
    <n v="3"/>
    <x v="19"/>
    <x v="0"/>
    <n v="11.5"/>
    <b v="1"/>
  </r>
  <r>
    <s v="ORD-00953"/>
    <x v="145"/>
    <s v="18:15"/>
    <x v="1"/>
    <x v="8"/>
    <x v="0"/>
    <n v="1"/>
    <n v="14.5"/>
    <n v="14.5"/>
    <x v="1"/>
    <n v="7"/>
    <x v="22"/>
    <x v="0"/>
    <n v="14.5"/>
    <b v="1"/>
  </r>
  <r>
    <s v="ORD-00954"/>
    <x v="16"/>
    <s v="20:20"/>
    <x v="1"/>
    <x v="17"/>
    <x v="0"/>
    <n v="2"/>
    <n v="15.95"/>
    <n v="31.9"/>
    <x v="1"/>
    <n v="14"/>
    <x v="10"/>
    <x v="0"/>
    <n v="31.9"/>
    <b v="1"/>
  </r>
  <r>
    <s v="ORD-00955"/>
    <x v="227"/>
    <s v="15:35"/>
    <x v="0"/>
    <x v="11"/>
    <x v="0"/>
    <n v="1"/>
    <n v="12.5"/>
    <n v="12.5"/>
    <x v="0"/>
    <n v="13"/>
    <x v="26"/>
    <x v="0"/>
    <n v="12.5"/>
    <b v="1"/>
  </r>
  <r>
    <s v="ORD-00956"/>
    <x v="156"/>
    <s v="21:45"/>
    <x v="1"/>
    <x v="12"/>
    <x v="3"/>
    <n v="2"/>
    <n v="7.25"/>
    <n v="14.5"/>
    <x v="2"/>
    <n v="1"/>
    <x v="12"/>
    <x v="0"/>
    <n v="14.5"/>
    <b v="1"/>
  </r>
  <r>
    <s v="ORD-00957"/>
    <x v="182"/>
    <s v="19:45"/>
    <x v="1"/>
    <x v="4"/>
    <x v="1"/>
    <n v="1"/>
    <n v="2.8"/>
    <n v="2.8"/>
    <x v="0"/>
    <n v="10"/>
    <x v="7"/>
    <x v="0"/>
    <n v="2.8"/>
    <b v="1"/>
  </r>
  <r>
    <s v="ORD-00958"/>
    <x v="252"/>
    <s v="20:05"/>
    <x v="1"/>
    <x v="14"/>
    <x v="2"/>
    <n v="1"/>
    <n v="6.25"/>
    <n v="6.25"/>
    <x v="1"/>
    <n v="7"/>
    <x v="27"/>
    <x v="0"/>
    <n v="6.25"/>
    <b v="1"/>
  </r>
  <r>
    <s v="ORD-00959"/>
    <x v="21"/>
    <s v="15:55"/>
    <x v="0"/>
    <x v="3"/>
    <x v="2"/>
    <n v="1"/>
    <n v="8.5"/>
    <n v="8.5"/>
    <x v="0"/>
    <n v="12"/>
    <x v="26"/>
    <x v="0"/>
    <n v="8.5"/>
    <b v="1"/>
  </r>
  <r>
    <s v="ORD-00960"/>
    <x v="77"/>
    <s v="21:05"/>
    <x v="1"/>
    <x v="12"/>
    <x v="3"/>
    <n v="3"/>
    <n v="7.25"/>
    <n v="21.75"/>
    <x v="3"/>
    <n v="13"/>
    <x v="2"/>
    <x v="0"/>
    <n v="21.75"/>
    <b v="1"/>
  </r>
  <r>
    <s v="ORD-00961"/>
    <x v="255"/>
    <s v="14:20"/>
    <x v="0"/>
    <x v="3"/>
    <x v="2"/>
    <n v="1"/>
    <n v="8.5"/>
    <n v="8.5"/>
    <x v="0"/>
    <n v="2"/>
    <x v="9"/>
    <x v="0"/>
    <n v="8.5"/>
    <b v="1"/>
  </r>
  <r>
    <s v="ORD-00962"/>
    <x v="114"/>
    <s v="18:35"/>
    <x v="1"/>
    <x v="13"/>
    <x v="0"/>
    <n v="3"/>
    <n v="13.5"/>
    <n v="40.5"/>
    <x v="0"/>
    <n v="21"/>
    <x v="7"/>
    <x v="0"/>
    <n v="40.5"/>
    <b v="1"/>
  </r>
  <r>
    <s v="ORD-00963"/>
    <x v="141"/>
    <s v="22:10"/>
    <x v="1"/>
    <x v="6"/>
    <x v="2"/>
    <n v="2"/>
    <n v="5.5"/>
    <n v="11"/>
    <x v="3"/>
    <n v="19"/>
    <x v="6"/>
    <x v="0"/>
    <n v="11"/>
    <b v="1"/>
  </r>
  <r>
    <s v="ORD-00964"/>
    <x v="125"/>
    <s v="11:50"/>
    <x v="0"/>
    <x v="7"/>
    <x v="3"/>
    <n v="1"/>
    <n v="6.95"/>
    <n v="6.95"/>
    <x v="1"/>
    <n v="29"/>
    <x v="19"/>
    <x v="0"/>
    <n v="6.95"/>
    <b v="1"/>
  </r>
  <r>
    <s v="ORD-00965"/>
    <x v="88"/>
    <s v="18:30"/>
    <x v="1"/>
    <x v="6"/>
    <x v="2"/>
    <n v="2"/>
    <n v="5.5"/>
    <n v="11"/>
    <x v="0"/>
    <n v="13"/>
    <x v="15"/>
    <x v="0"/>
    <n v="11"/>
    <b v="1"/>
  </r>
  <r>
    <s v="ORD-00966"/>
    <x v="39"/>
    <s v="22:05"/>
    <x v="1"/>
    <x v="10"/>
    <x v="0"/>
    <n v="2"/>
    <n v="11.95"/>
    <n v="-23.9"/>
    <x v="1"/>
    <n v="26"/>
    <x v="20"/>
    <x v="1"/>
    <n v="23.9"/>
    <b v="1"/>
  </r>
  <r>
    <s v="ORD-00967"/>
    <x v="163"/>
    <s v="12:55"/>
    <x v="0"/>
    <x v="7"/>
    <x v="3"/>
    <n v="2"/>
    <n v="6.95"/>
    <n v="13.9"/>
    <x v="1"/>
    <n v="1"/>
    <x v="12"/>
    <x v="0"/>
    <n v="13.9"/>
    <b v="1"/>
  </r>
  <r>
    <s v="ORD-00968"/>
    <x v="73"/>
    <s v="22:20"/>
    <x v="1"/>
    <x v="12"/>
    <x v="3"/>
    <n v="1"/>
    <n v="7.25"/>
    <n v="7.25"/>
    <x v="0"/>
    <n v="6"/>
    <x v="19"/>
    <x v="0"/>
    <n v="7.25"/>
    <b v="1"/>
  </r>
  <r>
    <s v="ORD-00969"/>
    <x v="60"/>
    <s v="21:05"/>
    <x v="1"/>
    <x v="15"/>
    <x v="3"/>
    <n v="1"/>
    <n v="5.75"/>
    <n v="5.75"/>
    <x v="2"/>
    <n v="6"/>
    <x v="17"/>
    <x v="0"/>
    <n v="5.75"/>
    <b v="1"/>
  </r>
  <r>
    <s v="ORD-00970"/>
    <x v="262"/>
    <s v="14:35"/>
    <x v="0"/>
    <x v="9"/>
    <x v="1"/>
    <n v="1"/>
    <n v="3.75"/>
    <n v="3.75"/>
    <x v="1"/>
    <n v="6"/>
    <x v="0"/>
    <x v="0"/>
    <n v="3.75"/>
    <b v="1"/>
  </r>
  <r>
    <s v="ORD-00971"/>
    <x v="113"/>
    <s v="13:05"/>
    <x v="0"/>
    <x v="14"/>
    <x v="2"/>
    <n v="1"/>
    <n v="6.25"/>
    <n v="6.25"/>
    <x v="1"/>
    <n v="4"/>
    <x v="4"/>
    <x v="0"/>
    <n v="6.25"/>
    <b v="1"/>
  </r>
  <r>
    <s v="ORD-00972"/>
    <x v="254"/>
    <s v="17:50"/>
    <x v="1"/>
    <x v="18"/>
    <x v="1"/>
    <n v="2"/>
    <n v="6.5"/>
    <n v="13"/>
    <x v="1"/>
    <n v="4"/>
    <x v="2"/>
    <x v="0"/>
    <n v="13"/>
    <b v="1"/>
  </r>
  <r>
    <s v="ORD-00973"/>
    <x v="230"/>
    <s v="15:20"/>
    <x v="0"/>
    <x v="16"/>
    <x v="1"/>
    <n v="1"/>
    <n v="3.25"/>
    <n v="3.25"/>
    <x v="3"/>
    <n v="22"/>
    <x v="3"/>
    <x v="0"/>
    <n v="3.25"/>
    <b v="1"/>
  </r>
  <r>
    <s v="ORD-00974"/>
    <x v="171"/>
    <s v="19:50"/>
    <x v="1"/>
    <x v="7"/>
    <x v="3"/>
    <n v="1"/>
    <n v="6.95"/>
    <n v="6.95"/>
    <x v="3"/>
    <n v="12"/>
    <x v="10"/>
    <x v="0"/>
    <n v="6.95"/>
    <b v="1"/>
  </r>
  <r>
    <s v="ORD-00975"/>
    <x v="149"/>
    <s v="14:55"/>
    <x v="0"/>
    <x v="8"/>
    <x v="0"/>
    <n v="1"/>
    <n v="14.5"/>
    <n v="14.5"/>
    <x v="2"/>
    <n v="23"/>
    <x v="19"/>
    <x v="0"/>
    <n v="14.5"/>
    <b v="1"/>
  </r>
  <r>
    <s v="ORD-00976"/>
    <x v="227"/>
    <s v="15:50"/>
    <x v="0"/>
    <x v="16"/>
    <x v="1"/>
    <n v="1"/>
    <n v="3.25"/>
    <n v="3.25"/>
    <x v="1"/>
    <n v="7"/>
    <x v="11"/>
    <x v="0"/>
    <n v="3.25"/>
    <b v="1"/>
  </r>
  <r>
    <s v="ORD-00977"/>
    <x v="187"/>
    <s v="13:00"/>
    <x v="0"/>
    <x v="14"/>
    <x v="2"/>
    <n v="2"/>
    <n v="6.25"/>
    <n v="12.5"/>
    <x v="2"/>
    <n v="20"/>
    <x v="5"/>
    <x v="0"/>
    <n v="12.5"/>
    <b v="1"/>
  </r>
  <r>
    <s v="ORD-00978"/>
    <x v="126"/>
    <s v="20:50"/>
    <x v="1"/>
    <x v="10"/>
    <x v="0"/>
    <n v="2"/>
    <n v="11.95"/>
    <n v="23.9"/>
    <x v="1"/>
    <n v="20"/>
    <x v="10"/>
    <x v="0"/>
    <n v="23.9"/>
    <b v="1"/>
  </r>
  <r>
    <s v="ORD-00979"/>
    <x v="163"/>
    <s v="21:55"/>
    <x v="1"/>
    <x v="1"/>
    <x v="1"/>
    <n v="1"/>
    <n v="3.1"/>
    <n v="3.1"/>
    <x v="3"/>
    <n v="22"/>
    <x v="2"/>
    <x v="0"/>
    <n v="3.1"/>
    <b v="1"/>
  </r>
  <r>
    <s v="ORD-00980"/>
    <x v="263"/>
    <s v="14:05"/>
    <x v="0"/>
    <x v="16"/>
    <x v="1"/>
    <n v="2"/>
    <n v="3.25"/>
    <n v="6.5"/>
    <x v="1"/>
    <n v="8"/>
    <x v="3"/>
    <x v="0"/>
    <n v="6.5"/>
    <b v="1"/>
  </r>
  <r>
    <s v="ORD-00981"/>
    <x v="225"/>
    <s v="11:10"/>
    <x v="0"/>
    <x v="14"/>
    <x v="2"/>
    <n v="3"/>
    <n v="6.25"/>
    <n v="-18.75"/>
    <x v="0"/>
    <n v="22"/>
    <x v="2"/>
    <x v="1"/>
    <n v="18.75"/>
    <b v="1"/>
  </r>
  <r>
    <s v="ORD-00982"/>
    <x v="43"/>
    <s v="21:50"/>
    <x v="1"/>
    <x v="16"/>
    <x v="1"/>
    <n v="1"/>
    <n v="3.25"/>
    <n v="3.25"/>
    <x v="3"/>
    <n v="11"/>
    <x v="6"/>
    <x v="0"/>
    <n v="3.25"/>
    <b v="1"/>
  </r>
  <r>
    <s v="ORD-00983"/>
    <x v="72"/>
    <s v="20:55"/>
    <x v="1"/>
    <x v="7"/>
    <x v="3"/>
    <n v="2"/>
    <n v="6.95"/>
    <n v="13.9"/>
    <x v="1"/>
    <n v="8"/>
    <x v="23"/>
    <x v="0"/>
    <n v="13.9"/>
    <b v="1"/>
  </r>
  <r>
    <s v="ORD-00984"/>
    <x v="33"/>
    <s v="11:05"/>
    <x v="0"/>
    <x v="14"/>
    <x v="2"/>
    <n v="2"/>
    <n v="6.25"/>
    <n v="12.5"/>
    <x v="3"/>
    <n v="24"/>
    <x v="2"/>
    <x v="0"/>
    <n v="12.5"/>
    <b v="1"/>
  </r>
  <r>
    <s v="ORD-00985"/>
    <x v="138"/>
    <s v="13:30"/>
    <x v="0"/>
    <x v="18"/>
    <x v="1"/>
    <n v="2"/>
    <n v="6.5"/>
    <n v="13"/>
    <x v="0"/>
    <n v="28"/>
    <x v="7"/>
    <x v="0"/>
    <n v="13"/>
    <b v="1"/>
  </r>
  <r>
    <s v="ORD-00986"/>
    <x v="17"/>
    <s v="13:50"/>
    <x v="0"/>
    <x v="8"/>
    <x v="0"/>
    <n v="1"/>
    <n v="14.5"/>
    <n v="14.5"/>
    <x v="1"/>
    <n v="19"/>
    <x v="20"/>
    <x v="0"/>
    <n v="14.5"/>
    <b v="1"/>
  </r>
  <r>
    <s v="ORD-00987"/>
    <x v="95"/>
    <s v="14:25"/>
    <x v="0"/>
    <x v="8"/>
    <x v="0"/>
    <n v="2"/>
    <n v="14.5"/>
    <n v="29"/>
    <x v="1"/>
    <n v="15"/>
    <x v="19"/>
    <x v="0"/>
    <n v="29"/>
    <b v="1"/>
  </r>
  <r>
    <s v="ORD-00988"/>
    <x v="71"/>
    <s v="11:45"/>
    <x v="0"/>
    <x v="14"/>
    <x v="2"/>
    <n v="1"/>
    <n v="6.25"/>
    <n v="6.25"/>
    <x v="1"/>
    <n v="4"/>
    <x v="22"/>
    <x v="0"/>
    <n v="6.25"/>
    <b v="1"/>
  </r>
  <r>
    <s v="ORD-00989"/>
    <x v="147"/>
    <s v="18:35"/>
    <x v="1"/>
    <x v="19"/>
    <x v="2"/>
    <n v="2"/>
    <n v="7.95"/>
    <n v="15.9"/>
    <x v="2"/>
    <n v="5"/>
    <x v="26"/>
    <x v="0"/>
    <n v="15.9"/>
    <b v="1"/>
  </r>
  <r>
    <s v="ORD-00990"/>
    <x v="259"/>
    <s v="18:55"/>
    <x v="1"/>
    <x v="13"/>
    <x v="0"/>
    <n v="3"/>
    <n v="13.5"/>
    <n v="-40.5"/>
    <x v="3"/>
    <n v="6"/>
    <x v="21"/>
    <x v="1"/>
    <n v="40.5"/>
    <b v="1"/>
  </r>
  <r>
    <s v="ORD-00991"/>
    <x v="191"/>
    <s v="12:00"/>
    <x v="0"/>
    <x v="4"/>
    <x v="1"/>
    <n v="1"/>
    <n v="2.8"/>
    <n v="2.8"/>
    <x v="0"/>
    <n v="25"/>
    <x v="1"/>
    <x v="0"/>
    <n v="2.8"/>
    <b v="1"/>
  </r>
  <r>
    <s v="ORD-00992"/>
    <x v="19"/>
    <s v="19:20"/>
    <x v="1"/>
    <x v="11"/>
    <x v="0"/>
    <n v="2"/>
    <n v="12.5"/>
    <n v="25"/>
    <x v="1"/>
    <n v="13"/>
    <x v="11"/>
    <x v="0"/>
    <n v="25"/>
    <b v="1"/>
  </r>
  <r>
    <s v="ORD-00993"/>
    <x v="105"/>
    <s v="21:00"/>
    <x v="1"/>
    <x v="19"/>
    <x v="2"/>
    <n v="1"/>
    <n v="7.95"/>
    <n v="7.95"/>
    <x v="1"/>
    <n v="16"/>
    <x v="2"/>
    <x v="0"/>
    <n v="7.95"/>
    <b v="1"/>
  </r>
  <r>
    <s v="ORD-00994"/>
    <x v="167"/>
    <s v="12:55"/>
    <x v="0"/>
    <x v="2"/>
    <x v="0"/>
    <n v="1"/>
    <n v="11.5"/>
    <n v="11.5"/>
    <x v="0"/>
    <n v="4"/>
    <x v="9"/>
    <x v="0"/>
    <n v="11.5"/>
    <b v="1"/>
  </r>
  <r>
    <s v="ORD-00995"/>
    <x v="260"/>
    <s v="14:50"/>
    <x v="0"/>
    <x v="17"/>
    <x v="0"/>
    <n v="3"/>
    <n v="15.95"/>
    <n v="47.85"/>
    <x v="1"/>
    <n v="2"/>
    <x v="5"/>
    <x v="0"/>
    <n v="47.849999999999994"/>
    <b v="1"/>
  </r>
  <r>
    <s v="ORD-00996"/>
    <x v="217"/>
    <s v="21:30"/>
    <x v="1"/>
    <x v="8"/>
    <x v="0"/>
    <n v="2"/>
    <n v="14.5"/>
    <n v="29"/>
    <x v="1"/>
    <n v="8"/>
    <x v="27"/>
    <x v="0"/>
    <n v="29"/>
    <b v="1"/>
  </r>
  <r>
    <s v="ORD-00997"/>
    <x v="144"/>
    <s v="19:55"/>
    <x v="1"/>
    <x v="9"/>
    <x v="1"/>
    <n v="3"/>
    <n v="3.75"/>
    <n v="11.25"/>
    <x v="0"/>
    <n v="26"/>
    <x v="9"/>
    <x v="0"/>
    <n v="11.25"/>
    <b v="1"/>
  </r>
  <r>
    <s v="ORD-00998"/>
    <x v="225"/>
    <s v="22:30"/>
    <x v="1"/>
    <x v="6"/>
    <x v="2"/>
    <n v="2"/>
    <n v="5.5"/>
    <n v="11"/>
    <x v="1"/>
    <n v="12"/>
    <x v="22"/>
    <x v="0"/>
    <n v="11"/>
    <b v="1"/>
  </r>
  <r>
    <s v="ORD-00999"/>
    <x v="33"/>
    <s v="14:50"/>
    <x v="0"/>
    <x v="1"/>
    <x v="1"/>
    <n v="1"/>
    <n v="3.1"/>
    <n v="3.1"/>
    <x v="0"/>
    <n v="9"/>
    <x v="1"/>
    <x v="0"/>
    <n v="3.1"/>
    <b v="1"/>
  </r>
  <r>
    <s v="ORD-01000"/>
    <x v="154"/>
    <s v="18:30"/>
    <x v="1"/>
    <x v="16"/>
    <x v="1"/>
    <n v="4"/>
    <n v="3.25"/>
    <n v="13"/>
    <x v="1"/>
    <n v="14"/>
    <x v="22"/>
    <x v="0"/>
    <n v="13"/>
    <b v="1"/>
  </r>
  <r>
    <s v="ORD-01001"/>
    <x v="70"/>
    <s v="11:55"/>
    <x v="0"/>
    <x v="4"/>
    <x v="1"/>
    <n v="1"/>
    <n v="2.8"/>
    <n v="2.8"/>
    <x v="2"/>
    <n v="18"/>
    <x v="10"/>
    <x v="0"/>
    <n v="2.8"/>
    <b v="1"/>
  </r>
  <r>
    <s v="ORD-01002"/>
    <x v="98"/>
    <s v="21:45"/>
    <x v="1"/>
    <x v="4"/>
    <x v="1"/>
    <n v="2"/>
    <n v="2.8"/>
    <n v="5.6"/>
    <x v="2"/>
    <n v="4"/>
    <x v="14"/>
    <x v="0"/>
    <n v="5.6"/>
    <b v="1"/>
  </r>
  <r>
    <s v="ORD-01003"/>
    <x v="104"/>
    <s v="17:10"/>
    <x v="1"/>
    <x v="9"/>
    <x v="1"/>
    <n v="2"/>
    <n v="3.75"/>
    <n v="7.5"/>
    <x v="1"/>
    <n v="4"/>
    <x v="1"/>
    <x v="0"/>
    <n v="7.5"/>
    <b v="1"/>
  </r>
  <r>
    <s v="ORD-01004"/>
    <x v="203"/>
    <s v="17:40"/>
    <x v="1"/>
    <x v="6"/>
    <x v="2"/>
    <n v="2"/>
    <n v="5.5"/>
    <n v="11"/>
    <x v="3"/>
    <n v="3"/>
    <x v="10"/>
    <x v="0"/>
    <n v="11"/>
    <b v="1"/>
  </r>
  <r>
    <s v="ORD-01005"/>
    <x v="130"/>
    <s v="15:10"/>
    <x v="0"/>
    <x v="12"/>
    <x v="3"/>
    <n v="4"/>
    <n v="7.25"/>
    <n v="29"/>
    <x v="3"/>
    <n v="17"/>
    <x v="13"/>
    <x v="0"/>
    <n v="29"/>
    <b v="1"/>
  </r>
  <r>
    <s v="ORD-01006"/>
    <x v="92"/>
    <s v="20:10"/>
    <x v="1"/>
    <x v="18"/>
    <x v="1"/>
    <n v="1"/>
    <n v="6.5"/>
    <n v="6.5"/>
    <x v="3"/>
    <n v="17"/>
    <x v="14"/>
    <x v="0"/>
    <n v="6.5"/>
    <b v="1"/>
  </r>
  <r>
    <s v="ORD-01007"/>
    <x v="129"/>
    <s v="21:15"/>
    <x v="1"/>
    <x v="10"/>
    <x v="0"/>
    <n v="2"/>
    <n v="11.95"/>
    <n v="23.9"/>
    <x v="3"/>
    <n v="10"/>
    <x v="17"/>
    <x v="0"/>
    <n v="23.9"/>
    <b v="1"/>
  </r>
  <r>
    <s v="ORD-01008"/>
    <x v="109"/>
    <s v="21:40"/>
    <x v="1"/>
    <x v="11"/>
    <x v="0"/>
    <n v="2"/>
    <n v="12.5"/>
    <n v="25"/>
    <x v="0"/>
    <n v="5"/>
    <x v="21"/>
    <x v="0"/>
    <n v="25"/>
    <b v="1"/>
  </r>
  <r>
    <s v="ORD-01009"/>
    <x v="17"/>
    <s v="13:20"/>
    <x v="0"/>
    <x v="7"/>
    <x v="3"/>
    <n v="2"/>
    <n v="6.95"/>
    <n v="13.9"/>
    <x v="0"/>
    <n v="9"/>
    <x v="14"/>
    <x v="0"/>
    <n v="13.9"/>
    <b v="1"/>
  </r>
  <r>
    <s v="ORD-01010"/>
    <x v="163"/>
    <s v="17:50"/>
    <x v="1"/>
    <x v="6"/>
    <x v="2"/>
    <n v="4"/>
    <n v="5.5"/>
    <n v="22"/>
    <x v="1"/>
    <n v="21"/>
    <x v="13"/>
    <x v="0"/>
    <n v="22"/>
    <b v="1"/>
  </r>
  <r>
    <s v="ORD-01011"/>
    <x v="100"/>
    <s v="22:40"/>
    <x v="1"/>
    <x v="9"/>
    <x v="1"/>
    <n v="1"/>
    <n v="3.75"/>
    <n v="3.75"/>
    <x v="1"/>
    <n v="13"/>
    <x v="24"/>
    <x v="0"/>
    <n v="3.75"/>
    <b v="1"/>
  </r>
  <r>
    <s v="ORD-01012"/>
    <x v="51"/>
    <s v="11:40"/>
    <x v="0"/>
    <x v="10"/>
    <x v="0"/>
    <n v="2"/>
    <n v="11.95"/>
    <n v="23.9"/>
    <x v="1"/>
    <n v="3"/>
    <x v="27"/>
    <x v="0"/>
    <n v="23.9"/>
    <b v="1"/>
  </r>
  <r>
    <s v="ORD-01013"/>
    <x v="225"/>
    <s v="13:20"/>
    <x v="0"/>
    <x v="8"/>
    <x v="0"/>
    <n v="2"/>
    <n v="14.5"/>
    <n v="29"/>
    <x v="0"/>
    <n v="8"/>
    <x v="7"/>
    <x v="0"/>
    <n v="29"/>
    <b v="1"/>
  </r>
  <r>
    <s v="ORD-01014"/>
    <x v="213"/>
    <s v="17:10"/>
    <x v="1"/>
    <x v="1"/>
    <x v="1"/>
    <n v="2"/>
    <n v="3.1"/>
    <n v="6.2"/>
    <x v="2"/>
    <n v="19"/>
    <x v="7"/>
    <x v="0"/>
    <n v="6.2"/>
    <b v="1"/>
  </r>
  <r>
    <s v="ORD-01015"/>
    <x v="87"/>
    <s v="13:55"/>
    <x v="0"/>
    <x v="18"/>
    <x v="1"/>
    <n v="2"/>
    <n v="6.5"/>
    <n v="13"/>
    <x v="1"/>
    <n v="2"/>
    <x v="24"/>
    <x v="0"/>
    <n v="13"/>
    <b v="1"/>
  </r>
  <r>
    <s v="ORD-01016"/>
    <x v="25"/>
    <s v="15:40"/>
    <x v="0"/>
    <x v="9"/>
    <x v="1"/>
    <n v="3"/>
    <n v="3.75"/>
    <n v="11.25"/>
    <x v="0"/>
    <n v="16"/>
    <x v="5"/>
    <x v="0"/>
    <n v="11.25"/>
    <b v="1"/>
  </r>
  <r>
    <s v="ORD-01017"/>
    <x v="207"/>
    <s v="15:55"/>
    <x v="0"/>
    <x v="8"/>
    <x v="0"/>
    <n v="2"/>
    <n v="14.5"/>
    <n v="29"/>
    <x v="3"/>
    <n v="2"/>
    <x v="24"/>
    <x v="0"/>
    <n v="29"/>
    <b v="1"/>
  </r>
  <r>
    <s v="ORD-01018"/>
    <x v="102"/>
    <s v="18:50"/>
    <x v="1"/>
    <x v="9"/>
    <x v="1"/>
    <n v="1"/>
    <n v="3.75"/>
    <n v="3.75"/>
    <x v="0"/>
    <n v="6"/>
    <x v="19"/>
    <x v="0"/>
    <n v="3.75"/>
    <b v="1"/>
  </r>
  <r>
    <s v="ORD-01019"/>
    <x v="242"/>
    <s v="21:20"/>
    <x v="1"/>
    <x v="6"/>
    <x v="2"/>
    <n v="3"/>
    <n v="5.5"/>
    <n v="16.5"/>
    <x v="1"/>
    <n v="27"/>
    <x v="28"/>
    <x v="0"/>
    <n v="16.5"/>
    <b v="1"/>
  </r>
  <r>
    <s v="ORD-01020"/>
    <x v="64"/>
    <s v="20:25"/>
    <x v="1"/>
    <x v="5"/>
    <x v="0"/>
    <n v="2"/>
    <n v="12.95"/>
    <n v="25.9"/>
    <x v="1"/>
    <n v="24"/>
    <x v="7"/>
    <x v="0"/>
    <n v="25.9"/>
    <b v="1"/>
  </r>
  <r>
    <s v="ORD-01021"/>
    <x v="24"/>
    <s v="11:05"/>
    <x v="0"/>
    <x v="19"/>
    <x v="2"/>
    <n v="1"/>
    <n v="7.95"/>
    <n v="7.95"/>
    <x v="0"/>
    <n v="14"/>
    <x v="10"/>
    <x v="0"/>
    <n v="7.95"/>
    <b v="1"/>
  </r>
  <r>
    <s v="ORD-01022"/>
    <x v="237"/>
    <s v="21:50"/>
    <x v="1"/>
    <x v="4"/>
    <x v="1"/>
    <n v="2"/>
    <n v="2.8"/>
    <n v="5.6"/>
    <x v="0"/>
    <n v="1"/>
    <x v="9"/>
    <x v="0"/>
    <n v="5.6"/>
    <b v="1"/>
  </r>
  <r>
    <s v="ORD-01023"/>
    <x v="230"/>
    <s v="22:40"/>
    <x v="1"/>
    <x v="3"/>
    <x v="2"/>
    <n v="1"/>
    <n v="8.5"/>
    <n v="0"/>
    <x v="3"/>
    <n v="29"/>
    <x v="9"/>
    <x v="2"/>
    <n v="8.5"/>
    <b v="1"/>
  </r>
  <r>
    <s v="ORD-01024"/>
    <x v="61"/>
    <s v="18:50"/>
    <x v="1"/>
    <x v="1"/>
    <x v="1"/>
    <n v="3"/>
    <n v="3.1"/>
    <n v="9.3000000000000007"/>
    <x v="0"/>
    <n v="3"/>
    <x v="1"/>
    <x v="0"/>
    <n v="9.3000000000000007"/>
    <b v="1"/>
  </r>
  <r>
    <s v="ORD-01025"/>
    <x v="160"/>
    <s v="17:30"/>
    <x v="1"/>
    <x v="16"/>
    <x v="1"/>
    <n v="1"/>
    <n v="3.25"/>
    <n v="3.25"/>
    <x v="1"/>
    <n v="22"/>
    <x v="20"/>
    <x v="0"/>
    <n v="3.25"/>
    <b v="1"/>
  </r>
  <r>
    <s v="ORD-01026"/>
    <x v="135"/>
    <s v="14:20"/>
    <x v="0"/>
    <x v="6"/>
    <x v="2"/>
    <n v="1"/>
    <n v="5.5"/>
    <n v="0"/>
    <x v="0"/>
    <n v="21"/>
    <x v="2"/>
    <x v="2"/>
    <n v="5.5"/>
    <b v="1"/>
  </r>
  <r>
    <s v="ORD-01027"/>
    <x v="166"/>
    <s v="22:40"/>
    <x v="1"/>
    <x v="13"/>
    <x v="0"/>
    <n v="3"/>
    <n v="13.5"/>
    <n v="40.5"/>
    <x v="0"/>
    <n v="1"/>
    <x v="13"/>
    <x v="0"/>
    <n v="40.5"/>
    <b v="1"/>
  </r>
  <r>
    <s v="ORD-01028"/>
    <x v="118"/>
    <s v="11:00"/>
    <x v="0"/>
    <x v="3"/>
    <x v="2"/>
    <n v="3"/>
    <n v="8.5"/>
    <n v="25.5"/>
    <x v="0"/>
    <n v="13"/>
    <x v="2"/>
    <x v="0"/>
    <n v="25.5"/>
    <b v="1"/>
  </r>
  <r>
    <s v="ORD-01029"/>
    <x v="149"/>
    <s v="18:05"/>
    <x v="1"/>
    <x v="1"/>
    <x v="1"/>
    <n v="1"/>
    <n v="3.1"/>
    <n v="3.1"/>
    <x v="1"/>
    <n v="1"/>
    <x v="1"/>
    <x v="0"/>
    <n v="3.1"/>
    <b v="1"/>
  </r>
  <r>
    <s v="ORD-01030"/>
    <x v="68"/>
    <s v="14:25"/>
    <x v="0"/>
    <x v="19"/>
    <x v="2"/>
    <n v="1"/>
    <n v="7.95"/>
    <n v="7.95"/>
    <x v="2"/>
    <n v="18"/>
    <x v="21"/>
    <x v="0"/>
    <n v="7.95"/>
    <b v="1"/>
  </r>
  <r>
    <s v="ORD-01031"/>
    <x v="181"/>
    <s v="22:35"/>
    <x v="1"/>
    <x v="17"/>
    <x v="0"/>
    <n v="1"/>
    <n v="15.95"/>
    <n v="0"/>
    <x v="0"/>
    <n v="28"/>
    <x v="2"/>
    <x v="2"/>
    <n v="15.95"/>
    <b v="1"/>
  </r>
  <r>
    <s v="ORD-01032"/>
    <x v="253"/>
    <s v="11:10"/>
    <x v="0"/>
    <x v="7"/>
    <x v="3"/>
    <n v="1"/>
    <n v="6.95"/>
    <n v="6.95"/>
    <x v="1"/>
    <n v="29"/>
    <x v="20"/>
    <x v="0"/>
    <n v="6.95"/>
    <b v="1"/>
  </r>
  <r>
    <s v="ORD-01033"/>
    <x v="60"/>
    <s v="22:20"/>
    <x v="1"/>
    <x v="10"/>
    <x v="0"/>
    <n v="1"/>
    <n v="11.95"/>
    <n v="11.95"/>
    <x v="1"/>
    <n v="5"/>
    <x v="0"/>
    <x v="0"/>
    <n v="11.95"/>
    <b v="1"/>
  </r>
  <r>
    <s v="ORD-01034"/>
    <x v="256"/>
    <s v="22:30"/>
    <x v="1"/>
    <x v="8"/>
    <x v="0"/>
    <n v="1"/>
    <n v="14.5"/>
    <n v="14.5"/>
    <x v="1"/>
    <n v="26"/>
    <x v="17"/>
    <x v="0"/>
    <n v="14.5"/>
    <b v="1"/>
  </r>
  <r>
    <s v="ORD-01035"/>
    <x v="267"/>
    <s v="11:50"/>
    <x v="0"/>
    <x v="0"/>
    <x v="0"/>
    <n v="1"/>
    <n v="9.9499999999999993"/>
    <n v="9.9499999999999993"/>
    <x v="0"/>
    <n v="1"/>
    <x v="24"/>
    <x v="0"/>
    <n v="9.9499999999999993"/>
    <b v="1"/>
  </r>
  <r>
    <s v="ORD-01036"/>
    <x v="222"/>
    <s v="11:30"/>
    <x v="0"/>
    <x v="0"/>
    <x v="0"/>
    <n v="2"/>
    <n v="9.9499999999999993"/>
    <n v="19.899999999999999"/>
    <x v="1"/>
    <n v="17"/>
    <x v="19"/>
    <x v="0"/>
    <n v="19.899999999999999"/>
    <b v="1"/>
  </r>
  <r>
    <s v="ORD-01037"/>
    <x v="146"/>
    <s v="19:55"/>
    <x v="1"/>
    <x v="0"/>
    <x v="0"/>
    <n v="2"/>
    <n v="9.9499999999999993"/>
    <n v="19.899999999999999"/>
    <x v="1"/>
    <n v="26"/>
    <x v="6"/>
    <x v="0"/>
    <n v="19.899999999999999"/>
    <b v="1"/>
  </r>
  <r>
    <s v="ORD-01038"/>
    <x v="27"/>
    <s v="18:45"/>
    <x v="1"/>
    <x v="8"/>
    <x v="0"/>
    <n v="1"/>
    <n v="14.5"/>
    <n v="14.5"/>
    <x v="1"/>
    <n v="13"/>
    <x v="15"/>
    <x v="0"/>
    <n v="14.5"/>
    <b v="1"/>
  </r>
  <r>
    <s v="ORD-01039"/>
    <x v="262"/>
    <s v="20:00"/>
    <x v="1"/>
    <x v="9"/>
    <x v="1"/>
    <n v="1"/>
    <n v="3.75"/>
    <n v="3.75"/>
    <x v="0"/>
    <n v="23"/>
    <x v="4"/>
    <x v="0"/>
    <n v="3.75"/>
    <b v="1"/>
  </r>
  <r>
    <s v="ORD-01040"/>
    <x v="151"/>
    <s v="14:35"/>
    <x v="0"/>
    <x v="13"/>
    <x v="0"/>
    <n v="1"/>
    <n v="13.5"/>
    <n v="13.5"/>
    <x v="1"/>
    <n v="2"/>
    <x v="17"/>
    <x v="0"/>
    <n v="13.5"/>
    <b v="1"/>
  </r>
  <r>
    <s v="ORD-01041"/>
    <x v="188"/>
    <s v="13:55"/>
    <x v="0"/>
    <x v="12"/>
    <x v="3"/>
    <n v="1"/>
    <n v="7.25"/>
    <n v="7.25"/>
    <x v="0"/>
    <n v="22"/>
    <x v="10"/>
    <x v="0"/>
    <n v="7.25"/>
    <b v="1"/>
  </r>
  <r>
    <s v="ORD-01042"/>
    <x v="223"/>
    <s v="13:45"/>
    <x v="0"/>
    <x v="10"/>
    <x v="0"/>
    <n v="1"/>
    <n v="11.95"/>
    <n v="11.95"/>
    <x v="0"/>
    <n v="16"/>
    <x v="10"/>
    <x v="0"/>
    <n v="11.95"/>
    <b v="1"/>
  </r>
  <r>
    <s v="ORD-01043"/>
    <x v="247"/>
    <s v="11:50"/>
    <x v="0"/>
    <x v="4"/>
    <x v="1"/>
    <n v="2"/>
    <n v="2.8"/>
    <n v="5.6"/>
    <x v="0"/>
    <n v="12"/>
    <x v="3"/>
    <x v="0"/>
    <n v="5.6"/>
    <b v="1"/>
  </r>
  <r>
    <s v="ORD-01044"/>
    <x v="12"/>
    <s v="18:50"/>
    <x v="1"/>
    <x v="6"/>
    <x v="2"/>
    <n v="1"/>
    <n v="5.5"/>
    <n v="5.5"/>
    <x v="3"/>
    <n v="3"/>
    <x v="15"/>
    <x v="0"/>
    <n v="5.5"/>
    <b v="1"/>
  </r>
  <r>
    <s v="ORD-01045"/>
    <x v="214"/>
    <s v="21:05"/>
    <x v="1"/>
    <x v="13"/>
    <x v="0"/>
    <n v="2"/>
    <n v="13.5"/>
    <n v="27"/>
    <x v="3"/>
    <n v="15"/>
    <x v="13"/>
    <x v="0"/>
    <n v="27"/>
    <b v="1"/>
  </r>
  <r>
    <s v="ORD-01046"/>
    <x v="23"/>
    <s v="21:25"/>
    <x v="1"/>
    <x v="19"/>
    <x v="2"/>
    <n v="2"/>
    <n v="7.95"/>
    <n v="-15.9"/>
    <x v="0"/>
    <n v="7"/>
    <x v="10"/>
    <x v="1"/>
    <n v="15.9"/>
    <b v="1"/>
  </r>
  <r>
    <s v="ORD-01047"/>
    <x v="11"/>
    <s v="12:30"/>
    <x v="0"/>
    <x v="4"/>
    <x v="1"/>
    <n v="2"/>
    <n v="2.8"/>
    <n v="-5.6"/>
    <x v="3"/>
    <n v="12"/>
    <x v="10"/>
    <x v="1"/>
    <n v="5.6"/>
    <b v="1"/>
  </r>
  <r>
    <s v="ORD-01048"/>
    <x v="123"/>
    <s v="17:30"/>
    <x v="1"/>
    <x v="5"/>
    <x v="0"/>
    <n v="1"/>
    <n v="12.95"/>
    <n v="12.95"/>
    <x v="3"/>
    <n v="30"/>
    <x v="22"/>
    <x v="0"/>
    <n v="12.95"/>
    <b v="1"/>
  </r>
  <r>
    <s v="ORD-01049"/>
    <x v="158"/>
    <s v="13:55"/>
    <x v="0"/>
    <x v="8"/>
    <x v="0"/>
    <n v="1"/>
    <n v="14.5"/>
    <n v="14.5"/>
    <x v="0"/>
    <n v="7"/>
    <x v="26"/>
    <x v="0"/>
    <n v="14.5"/>
    <b v="1"/>
  </r>
  <r>
    <s v="ORD-01050"/>
    <x v="209"/>
    <s v="21:40"/>
    <x v="1"/>
    <x v="5"/>
    <x v="0"/>
    <n v="1"/>
    <n v="12.95"/>
    <n v="0"/>
    <x v="0"/>
    <n v="17"/>
    <x v="27"/>
    <x v="2"/>
    <n v="12.95"/>
    <b v="1"/>
  </r>
  <r>
    <s v="ORD-01051"/>
    <x v="25"/>
    <s v="19:15"/>
    <x v="1"/>
    <x v="17"/>
    <x v="0"/>
    <n v="1"/>
    <n v="15.95"/>
    <n v="15.95"/>
    <x v="3"/>
    <n v="29"/>
    <x v="13"/>
    <x v="0"/>
    <n v="15.95"/>
    <b v="1"/>
  </r>
  <r>
    <s v="ORD-01052"/>
    <x v="106"/>
    <s v="22:55"/>
    <x v="1"/>
    <x v="1"/>
    <x v="1"/>
    <n v="1"/>
    <n v="3.1"/>
    <n v="3.1"/>
    <x v="0"/>
    <n v="10"/>
    <x v="6"/>
    <x v="0"/>
    <n v="3.1"/>
    <b v="1"/>
  </r>
  <r>
    <s v="ORD-01053"/>
    <x v="135"/>
    <s v="11:40"/>
    <x v="0"/>
    <x v="0"/>
    <x v="0"/>
    <n v="1"/>
    <n v="9.9499999999999993"/>
    <n v="9.9499999999999993"/>
    <x v="1"/>
    <n v="30"/>
    <x v="21"/>
    <x v="0"/>
    <n v="9.9499999999999993"/>
    <b v="1"/>
  </r>
  <r>
    <s v="ORD-01054"/>
    <x v="145"/>
    <s v="18:15"/>
    <x v="1"/>
    <x v="4"/>
    <x v="1"/>
    <n v="1"/>
    <n v="2.8"/>
    <n v="2.8"/>
    <x v="0"/>
    <n v="12"/>
    <x v="6"/>
    <x v="0"/>
    <n v="2.8"/>
    <b v="1"/>
  </r>
  <r>
    <s v="ORD-01055"/>
    <x v="138"/>
    <s v="15:20"/>
    <x v="0"/>
    <x v="8"/>
    <x v="0"/>
    <n v="1"/>
    <n v="14.5"/>
    <n v="14.5"/>
    <x v="2"/>
    <n v="21"/>
    <x v="5"/>
    <x v="0"/>
    <n v="14.5"/>
    <b v="1"/>
  </r>
  <r>
    <s v="ORD-01056"/>
    <x v="133"/>
    <s v="13:10"/>
    <x v="0"/>
    <x v="6"/>
    <x v="2"/>
    <n v="4"/>
    <n v="5.5"/>
    <n v="22"/>
    <x v="3"/>
    <n v="22"/>
    <x v="34"/>
    <x v="0"/>
    <n v="22"/>
    <b v="1"/>
  </r>
  <r>
    <s v="ORD-01057"/>
    <x v="14"/>
    <s v="22:30"/>
    <x v="1"/>
    <x v="6"/>
    <x v="2"/>
    <n v="2"/>
    <n v="5.5"/>
    <n v="11"/>
    <x v="1"/>
    <n v="15"/>
    <x v="10"/>
    <x v="0"/>
    <n v="11"/>
    <b v="1"/>
  </r>
  <r>
    <s v="ORD-01058"/>
    <x v="188"/>
    <s v="14:10"/>
    <x v="0"/>
    <x v="15"/>
    <x v="3"/>
    <n v="1"/>
    <n v="5.75"/>
    <n v="5.75"/>
    <x v="0"/>
    <n v="14"/>
    <x v="14"/>
    <x v="0"/>
    <n v="5.75"/>
    <b v="1"/>
  </r>
  <r>
    <s v="ORD-01059"/>
    <x v="139"/>
    <s v="12:35"/>
    <x v="0"/>
    <x v="17"/>
    <x v="0"/>
    <n v="2"/>
    <n v="15.95"/>
    <n v="31.9"/>
    <x v="1"/>
    <n v="24"/>
    <x v="20"/>
    <x v="0"/>
    <n v="31.9"/>
    <b v="1"/>
  </r>
  <r>
    <s v="ORD-01060"/>
    <x v="124"/>
    <s v="12:10"/>
    <x v="0"/>
    <x v="7"/>
    <x v="3"/>
    <n v="2"/>
    <n v="6.95"/>
    <n v="13.9"/>
    <x v="1"/>
    <n v="3"/>
    <x v="6"/>
    <x v="0"/>
    <n v="13.9"/>
    <b v="1"/>
  </r>
  <r>
    <s v="ORD-01061"/>
    <x v="182"/>
    <s v="14:05"/>
    <x v="0"/>
    <x v="1"/>
    <x v="1"/>
    <n v="1"/>
    <n v="3.1"/>
    <n v="0"/>
    <x v="0"/>
    <n v="13"/>
    <x v="5"/>
    <x v="2"/>
    <n v="3.1"/>
    <b v="1"/>
  </r>
  <r>
    <s v="ORD-01062"/>
    <x v="253"/>
    <s v="22:00"/>
    <x v="1"/>
    <x v="8"/>
    <x v="0"/>
    <n v="1"/>
    <n v="14.5"/>
    <n v="14.5"/>
    <x v="1"/>
    <n v="9"/>
    <x v="9"/>
    <x v="0"/>
    <n v="14.5"/>
    <b v="1"/>
  </r>
  <r>
    <s v="ORD-01063"/>
    <x v="192"/>
    <s v="17:05"/>
    <x v="1"/>
    <x v="4"/>
    <x v="1"/>
    <n v="2"/>
    <n v="2.8"/>
    <n v="5.6"/>
    <x v="0"/>
    <n v="5"/>
    <x v="2"/>
    <x v="0"/>
    <n v="5.6"/>
    <b v="1"/>
  </r>
  <r>
    <s v="ORD-01064"/>
    <x v="229"/>
    <s v="19:25"/>
    <x v="1"/>
    <x v="16"/>
    <x v="1"/>
    <n v="1"/>
    <n v="3.25"/>
    <n v="3.25"/>
    <x v="0"/>
    <n v="18"/>
    <x v="0"/>
    <x v="0"/>
    <n v="3.25"/>
    <b v="1"/>
  </r>
  <r>
    <s v="ORD-01065"/>
    <x v="43"/>
    <s v="11:05"/>
    <x v="0"/>
    <x v="4"/>
    <x v="1"/>
    <n v="1"/>
    <n v="2.8"/>
    <n v="2.8"/>
    <x v="3"/>
    <n v="1"/>
    <x v="14"/>
    <x v="0"/>
    <n v="2.8"/>
    <b v="1"/>
  </r>
  <r>
    <s v="ORD-01066"/>
    <x v="265"/>
    <s v="14:10"/>
    <x v="0"/>
    <x v="3"/>
    <x v="2"/>
    <n v="2"/>
    <n v="8.5"/>
    <n v="17"/>
    <x v="3"/>
    <n v="30"/>
    <x v="5"/>
    <x v="0"/>
    <n v="17"/>
    <b v="1"/>
  </r>
  <r>
    <s v="ORD-01067"/>
    <x v="208"/>
    <s v="22:05"/>
    <x v="1"/>
    <x v="16"/>
    <x v="1"/>
    <n v="1"/>
    <n v="3.25"/>
    <n v="3.25"/>
    <x v="0"/>
    <n v="10"/>
    <x v="7"/>
    <x v="0"/>
    <n v="3.25"/>
    <b v="1"/>
  </r>
  <r>
    <s v="ORD-01068"/>
    <x v="35"/>
    <s v="11:00"/>
    <x v="0"/>
    <x v="9"/>
    <x v="1"/>
    <n v="1"/>
    <n v="3.75"/>
    <n v="3.75"/>
    <x v="1"/>
    <n v="17"/>
    <x v="21"/>
    <x v="0"/>
    <n v="3.75"/>
    <b v="1"/>
  </r>
  <r>
    <s v="ORD-01069"/>
    <x v="176"/>
    <s v="18:50"/>
    <x v="1"/>
    <x v="19"/>
    <x v="2"/>
    <n v="2"/>
    <n v="7.95"/>
    <n v="15.9"/>
    <x v="0"/>
    <n v="30"/>
    <x v="20"/>
    <x v="0"/>
    <n v="15.9"/>
    <b v="1"/>
  </r>
  <r>
    <s v="ORD-01070"/>
    <x v="138"/>
    <s v="22:05"/>
    <x v="1"/>
    <x v="2"/>
    <x v="0"/>
    <n v="2"/>
    <n v="11.5"/>
    <n v="23"/>
    <x v="0"/>
    <n v="25"/>
    <x v="6"/>
    <x v="0"/>
    <n v="23"/>
    <b v="1"/>
  </r>
  <r>
    <s v="ORD-01071"/>
    <x v="52"/>
    <s v="14:55"/>
    <x v="0"/>
    <x v="16"/>
    <x v="1"/>
    <n v="2"/>
    <n v="3.25"/>
    <n v="6.5"/>
    <x v="1"/>
    <n v="9"/>
    <x v="1"/>
    <x v="0"/>
    <n v="6.5"/>
    <b v="1"/>
  </r>
  <r>
    <s v="ORD-01072"/>
    <x v="105"/>
    <s v="18:30"/>
    <x v="1"/>
    <x v="3"/>
    <x v="2"/>
    <n v="1"/>
    <n v="8.5"/>
    <n v="8.5"/>
    <x v="0"/>
    <n v="16"/>
    <x v="9"/>
    <x v="0"/>
    <n v="8.5"/>
    <b v="1"/>
  </r>
  <r>
    <s v="ORD-01073"/>
    <x v="234"/>
    <s v="22:25"/>
    <x v="1"/>
    <x v="8"/>
    <x v="0"/>
    <n v="2"/>
    <n v="14.5"/>
    <n v="29"/>
    <x v="0"/>
    <n v="18"/>
    <x v="27"/>
    <x v="0"/>
    <n v="29"/>
    <b v="1"/>
  </r>
  <r>
    <s v="ORD-01074"/>
    <x v="78"/>
    <s v="18:30"/>
    <x v="1"/>
    <x v="5"/>
    <x v="0"/>
    <n v="2"/>
    <n v="12.95"/>
    <n v="25.9"/>
    <x v="0"/>
    <n v="17"/>
    <x v="8"/>
    <x v="0"/>
    <n v="25.9"/>
    <b v="1"/>
  </r>
  <r>
    <s v="ORD-01075"/>
    <x v="201"/>
    <s v="18:25"/>
    <x v="1"/>
    <x v="2"/>
    <x v="0"/>
    <n v="1"/>
    <n v="11.5"/>
    <n v="11.5"/>
    <x v="3"/>
    <n v="5"/>
    <x v="7"/>
    <x v="0"/>
    <n v="11.5"/>
    <b v="1"/>
  </r>
  <r>
    <s v="ORD-01076"/>
    <x v="168"/>
    <s v="19:10"/>
    <x v="1"/>
    <x v="19"/>
    <x v="2"/>
    <n v="1"/>
    <n v="7.95"/>
    <n v="7.95"/>
    <x v="3"/>
    <n v="30"/>
    <x v="27"/>
    <x v="0"/>
    <n v="7.95"/>
    <b v="1"/>
  </r>
  <r>
    <s v="ORD-01077"/>
    <x v="164"/>
    <s v="12:00"/>
    <x v="0"/>
    <x v="8"/>
    <x v="0"/>
    <n v="1"/>
    <n v="14.5"/>
    <n v="14.5"/>
    <x v="0"/>
    <n v="1"/>
    <x v="2"/>
    <x v="0"/>
    <n v="14.5"/>
    <b v="1"/>
  </r>
  <r>
    <s v="ORD-01078"/>
    <x v="114"/>
    <s v="11:50"/>
    <x v="0"/>
    <x v="18"/>
    <x v="1"/>
    <n v="1"/>
    <n v="6.5"/>
    <n v="6.5"/>
    <x v="1"/>
    <n v="28"/>
    <x v="30"/>
    <x v="0"/>
    <n v="6.5"/>
    <b v="1"/>
  </r>
  <r>
    <s v="ORD-01079"/>
    <x v="260"/>
    <s v="11:15"/>
    <x v="0"/>
    <x v="5"/>
    <x v="0"/>
    <n v="1"/>
    <n v="12.95"/>
    <n v="12.95"/>
    <x v="1"/>
    <n v="24"/>
    <x v="20"/>
    <x v="0"/>
    <n v="12.95"/>
    <b v="1"/>
  </r>
  <r>
    <s v="ORD-01080"/>
    <x v="12"/>
    <s v="19:35"/>
    <x v="1"/>
    <x v="12"/>
    <x v="3"/>
    <n v="2"/>
    <n v="7.25"/>
    <n v="14.5"/>
    <x v="0"/>
    <n v="26"/>
    <x v="21"/>
    <x v="0"/>
    <n v="14.5"/>
    <b v="1"/>
  </r>
  <r>
    <s v="ORD-01081"/>
    <x v="192"/>
    <s v="12:00"/>
    <x v="0"/>
    <x v="13"/>
    <x v="0"/>
    <n v="2"/>
    <n v="13.5"/>
    <n v="27"/>
    <x v="0"/>
    <n v="27"/>
    <x v="7"/>
    <x v="0"/>
    <n v="27"/>
    <b v="1"/>
  </r>
  <r>
    <s v="ORD-01082"/>
    <x v="194"/>
    <s v="19:45"/>
    <x v="1"/>
    <x v="1"/>
    <x v="1"/>
    <n v="1"/>
    <n v="3.1"/>
    <n v="3.1"/>
    <x v="3"/>
    <n v="14"/>
    <x v="9"/>
    <x v="0"/>
    <n v="3.1"/>
    <b v="1"/>
  </r>
  <r>
    <s v="ORD-01083"/>
    <x v="231"/>
    <s v="21:30"/>
    <x v="1"/>
    <x v="8"/>
    <x v="0"/>
    <n v="2"/>
    <n v="14.5"/>
    <n v="29"/>
    <x v="2"/>
    <n v="6"/>
    <x v="10"/>
    <x v="0"/>
    <n v="29"/>
    <b v="1"/>
  </r>
  <r>
    <s v="ORD-01084"/>
    <x v="220"/>
    <s v="20:35"/>
    <x v="1"/>
    <x v="14"/>
    <x v="2"/>
    <n v="2"/>
    <n v="6.25"/>
    <n v="12.5"/>
    <x v="0"/>
    <n v="27"/>
    <x v="8"/>
    <x v="0"/>
    <n v="12.5"/>
    <b v="1"/>
  </r>
  <r>
    <s v="ORD-01085"/>
    <x v="186"/>
    <s v="22:30"/>
    <x v="1"/>
    <x v="11"/>
    <x v="0"/>
    <n v="1"/>
    <n v="12.5"/>
    <n v="12.5"/>
    <x v="1"/>
    <n v="28"/>
    <x v="12"/>
    <x v="0"/>
    <n v="12.5"/>
    <b v="1"/>
  </r>
  <r>
    <s v="ORD-01086"/>
    <x v="148"/>
    <s v="15:05"/>
    <x v="0"/>
    <x v="5"/>
    <x v="0"/>
    <n v="1"/>
    <n v="12.95"/>
    <n v="12.95"/>
    <x v="3"/>
    <n v="25"/>
    <x v="19"/>
    <x v="0"/>
    <n v="12.95"/>
    <b v="1"/>
  </r>
  <r>
    <s v="ORD-01087"/>
    <x v="88"/>
    <s v="22:00"/>
    <x v="1"/>
    <x v="0"/>
    <x v="0"/>
    <n v="1"/>
    <n v="9.9499999999999993"/>
    <n v="9.9499999999999993"/>
    <x v="0"/>
    <n v="26"/>
    <x v="9"/>
    <x v="0"/>
    <n v="9.9499999999999993"/>
    <b v="1"/>
  </r>
  <r>
    <s v="ORD-01088"/>
    <x v="228"/>
    <s v="13:00"/>
    <x v="0"/>
    <x v="3"/>
    <x v="2"/>
    <n v="2"/>
    <n v="8.5"/>
    <n v="17"/>
    <x v="1"/>
    <n v="17"/>
    <x v="9"/>
    <x v="0"/>
    <n v="17"/>
    <b v="1"/>
  </r>
  <r>
    <s v="ORD-01089"/>
    <x v="191"/>
    <s v="18:55"/>
    <x v="1"/>
    <x v="10"/>
    <x v="0"/>
    <n v="1"/>
    <n v="11.95"/>
    <n v="0"/>
    <x v="1"/>
    <n v="25"/>
    <x v="9"/>
    <x v="2"/>
    <n v="11.95"/>
    <b v="1"/>
  </r>
  <r>
    <s v="ORD-01090"/>
    <x v="219"/>
    <s v="17:20"/>
    <x v="1"/>
    <x v="17"/>
    <x v="0"/>
    <n v="1"/>
    <n v="15.95"/>
    <n v="15.95"/>
    <x v="3"/>
    <n v="3"/>
    <x v="19"/>
    <x v="0"/>
    <n v="15.95"/>
    <b v="1"/>
  </r>
  <r>
    <s v="ORD-01091"/>
    <x v="24"/>
    <s v="18:15"/>
    <x v="1"/>
    <x v="8"/>
    <x v="0"/>
    <n v="2"/>
    <n v="14.5"/>
    <n v="29"/>
    <x v="0"/>
    <n v="24"/>
    <x v="12"/>
    <x v="0"/>
    <n v="29"/>
    <b v="1"/>
  </r>
  <r>
    <s v="ORD-01092"/>
    <x v="29"/>
    <s v="19:35"/>
    <x v="1"/>
    <x v="8"/>
    <x v="0"/>
    <n v="1"/>
    <n v="14.5"/>
    <n v="14.5"/>
    <x v="3"/>
    <n v="20"/>
    <x v="19"/>
    <x v="0"/>
    <n v="14.5"/>
    <b v="1"/>
  </r>
  <r>
    <s v="ORD-01093"/>
    <x v="45"/>
    <s v="14:15"/>
    <x v="0"/>
    <x v="11"/>
    <x v="0"/>
    <n v="4"/>
    <n v="12.5"/>
    <n v="50"/>
    <x v="3"/>
    <n v="21"/>
    <x v="19"/>
    <x v="0"/>
    <n v="50"/>
    <b v="1"/>
  </r>
  <r>
    <s v="ORD-01094"/>
    <x v="143"/>
    <s v="18:20"/>
    <x v="1"/>
    <x v="4"/>
    <x v="1"/>
    <n v="2"/>
    <n v="2.8"/>
    <n v="5.6"/>
    <x v="1"/>
    <n v="16"/>
    <x v="2"/>
    <x v="0"/>
    <n v="5.6"/>
    <b v="1"/>
  </r>
  <r>
    <s v="ORD-01095"/>
    <x v="41"/>
    <s v="13:10"/>
    <x v="0"/>
    <x v="5"/>
    <x v="0"/>
    <n v="1"/>
    <n v="12.95"/>
    <n v="12.95"/>
    <x v="2"/>
    <n v="23"/>
    <x v="2"/>
    <x v="0"/>
    <n v="12.95"/>
    <b v="1"/>
  </r>
  <r>
    <s v="ORD-01096"/>
    <x v="207"/>
    <s v="19:35"/>
    <x v="1"/>
    <x v="8"/>
    <x v="0"/>
    <n v="3"/>
    <n v="14.5"/>
    <n v="43.5"/>
    <x v="1"/>
    <n v="16"/>
    <x v="13"/>
    <x v="0"/>
    <n v="43.5"/>
    <b v="1"/>
  </r>
  <r>
    <s v="ORD-01097"/>
    <x v="193"/>
    <s v="21:50"/>
    <x v="1"/>
    <x v="8"/>
    <x v="0"/>
    <n v="1"/>
    <n v="14.5"/>
    <n v="14.5"/>
    <x v="1"/>
    <n v="12"/>
    <x v="15"/>
    <x v="0"/>
    <n v="14.5"/>
    <b v="1"/>
  </r>
  <r>
    <s v="ORD-01098"/>
    <x v="234"/>
    <s v="19:50"/>
    <x v="1"/>
    <x v="13"/>
    <x v="0"/>
    <n v="2"/>
    <n v="13.5"/>
    <n v="27"/>
    <x v="0"/>
    <n v="2"/>
    <x v="4"/>
    <x v="0"/>
    <n v="27"/>
    <b v="1"/>
  </r>
  <r>
    <s v="ORD-01099"/>
    <x v="7"/>
    <s v="21:00"/>
    <x v="1"/>
    <x v="8"/>
    <x v="0"/>
    <n v="2"/>
    <n v="14.5"/>
    <n v="29"/>
    <x v="1"/>
    <n v="28"/>
    <x v="2"/>
    <x v="0"/>
    <n v="29"/>
    <b v="1"/>
  </r>
  <r>
    <s v="ORD-01100"/>
    <x v="264"/>
    <s v="22:05"/>
    <x v="1"/>
    <x v="3"/>
    <x v="2"/>
    <n v="1"/>
    <n v="8.5"/>
    <n v="8.5"/>
    <x v="3"/>
    <n v="18"/>
    <x v="27"/>
    <x v="0"/>
    <n v="8.5"/>
    <b v="1"/>
  </r>
  <r>
    <s v="ORD-01101"/>
    <x v="245"/>
    <s v="12:55"/>
    <x v="0"/>
    <x v="10"/>
    <x v="0"/>
    <n v="3"/>
    <n v="11.95"/>
    <n v="35.85"/>
    <x v="1"/>
    <n v="11"/>
    <x v="10"/>
    <x v="0"/>
    <n v="35.849999999999994"/>
    <b v="1"/>
  </r>
  <r>
    <s v="ORD-01102"/>
    <x v="189"/>
    <s v="20:15"/>
    <x v="1"/>
    <x v="16"/>
    <x v="1"/>
    <n v="1"/>
    <n v="3.25"/>
    <n v="3.25"/>
    <x v="0"/>
    <n v="2"/>
    <x v="22"/>
    <x v="0"/>
    <n v="3.25"/>
    <b v="1"/>
  </r>
  <r>
    <s v="ORD-01103"/>
    <x v="76"/>
    <s v="12:25"/>
    <x v="0"/>
    <x v="18"/>
    <x v="1"/>
    <n v="1"/>
    <n v="6.5"/>
    <n v="6.5"/>
    <x v="0"/>
    <n v="26"/>
    <x v="22"/>
    <x v="0"/>
    <n v="6.5"/>
    <b v="1"/>
  </r>
  <r>
    <s v="ORD-01104"/>
    <x v="45"/>
    <s v="18:00"/>
    <x v="1"/>
    <x v="11"/>
    <x v="0"/>
    <n v="2"/>
    <n v="12.5"/>
    <n v="-25"/>
    <x v="0"/>
    <n v="22"/>
    <x v="8"/>
    <x v="1"/>
    <n v="25"/>
    <b v="1"/>
  </r>
  <r>
    <s v="ORD-01105"/>
    <x v="268"/>
    <s v="17:10"/>
    <x v="1"/>
    <x v="5"/>
    <x v="0"/>
    <n v="1"/>
    <n v="12.95"/>
    <n v="12.95"/>
    <x v="0"/>
    <n v="28"/>
    <x v="8"/>
    <x v="0"/>
    <n v="12.95"/>
    <b v="1"/>
  </r>
  <r>
    <s v="ORD-01106"/>
    <x v="218"/>
    <s v="19:10"/>
    <x v="1"/>
    <x v="13"/>
    <x v="0"/>
    <n v="1"/>
    <n v="13.5"/>
    <n v="13.5"/>
    <x v="3"/>
    <n v="11"/>
    <x v="25"/>
    <x v="0"/>
    <n v="13.5"/>
    <b v="1"/>
  </r>
  <r>
    <s v="ORD-01107"/>
    <x v="240"/>
    <s v="13:30"/>
    <x v="0"/>
    <x v="16"/>
    <x v="1"/>
    <n v="1"/>
    <n v="3.25"/>
    <n v="3.25"/>
    <x v="0"/>
    <n v="14"/>
    <x v="9"/>
    <x v="0"/>
    <n v="3.25"/>
    <b v="1"/>
  </r>
  <r>
    <s v="ORD-01108"/>
    <x v="25"/>
    <s v="21:45"/>
    <x v="1"/>
    <x v="11"/>
    <x v="0"/>
    <n v="1"/>
    <n v="12.5"/>
    <n v="12.5"/>
    <x v="0"/>
    <n v="19"/>
    <x v="11"/>
    <x v="0"/>
    <n v="12.5"/>
    <b v="1"/>
  </r>
  <r>
    <s v="ORD-01109"/>
    <x v="105"/>
    <s v="22:55"/>
    <x v="1"/>
    <x v="14"/>
    <x v="2"/>
    <n v="1"/>
    <n v="6.25"/>
    <n v="6.25"/>
    <x v="1"/>
    <n v="11"/>
    <x v="23"/>
    <x v="0"/>
    <n v="6.25"/>
    <b v="1"/>
  </r>
  <r>
    <s v="ORD-01110"/>
    <x v="38"/>
    <s v="11:35"/>
    <x v="0"/>
    <x v="8"/>
    <x v="0"/>
    <n v="2"/>
    <n v="14.5"/>
    <n v="29"/>
    <x v="1"/>
    <n v="19"/>
    <x v="14"/>
    <x v="0"/>
    <n v="29"/>
    <b v="1"/>
  </r>
  <r>
    <s v="ORD-01111"/>
    <x v="166"/>
    <s v="18:30"/>
    <x v="1"/>
    <x v="4"/>
    <x v="1"/>
    <n v="2"/>
    <n v="2.8"/>
    <n v="5.6"/>
    <x v="3"/>
    <n v="7"/>
    <x v="22"/>
    <x v="0"/>
    <n v="5.6"/>
    <b v="1"/>
  </r>
  <r>
    <s v="ORD-01112"/>
    <x v="238"/>
    <s v="13:00"/>
    <x v="0"/>
    <x v="19"/>
    <x v="2"/>
    <n v="3"/>
    <n v="7.95"/>
    <n v="23.85"/>
    <x v="3"/>
    <n v="27"/>
    <x v="19"/>
    <x v="0"/>
    <n v="23.85"/>
    <b v="1"/>
  </r>
  <r>
    <s v="ORD-01113"/>
    <x v="9"/>
    <s v="20:30"/>
    <x v="1"/>
    <x v="12"/>
    <x v="3"/>
    <n v="1"/>
    <n v="7.25"/>
    <n v="7.25"/>
    <x v="1"/>
    <n v="11"/>
    <x v="11"/>
    <x v="0"/>
    <n v="7.25"/>
    <b v="1"/>
  </r>
  <r>
    <s v="ORD-01114"/>
    <x v="241"/>
    <s v="19:10"/>
    <x v="1"/>
    <x v="4"/>
    <x v="1"/>
    <n v="2"/>
    <n v="2.8"/>
    <n v="5.6"/>
    <x v="0"/>
    <n v="14"/>
    <x v="17"/>
    <x v="0"/>
    <n v="5.6"/>
    <b v="1"/>
  </r>
  <r>
    <s v="ORD-01115"/>
    <x v="42"/>
    <s v="22:45"/>
    <x v="1"/>
    <x v="10"/>
    <x v="0"/>
    <n v="4"/>
    <n v="11.95"/>
    <n v="47.8"/>
    <x v="0"/>
    <n v="30"/>
    <x v="17"/>
    <x v="0"/>
    <n v="47.8"/>
    <b v="1"/>
  </r>
  <r>
    <s v="ORD-01116"/>
    <x v="142"/>
    <s v="21:40"/>
    <x v="1"/>
    <x v="10"/>
    <x v="0"/>
    <n v="2"/>
    <n v="11.95"/>
    <n v="23.9"/>
    <x v="2"/>
    <n v="19"/>
    <x v="17"/>
    <x v="0"/>
    <n v="23.9"/>
    <b v="1"/>
  </r>
  <r>
    <s v="ORD-01117"/>
    <x v="222"/>
    <s v="18:15"/>
    <x v="1"/>
    <x v="15"/>
    <x v="3"/>
    <n v="1"/>
    <n v="5.75"/>
    <n v="5.75"/>
    <x v="0"/>
    <n v="4"/>
    <x v="6"/>
    <x v="0"/>
    <n v="5.75"/>
    <b v="1"/>
  </r>
  <r>
    <s v="ORD-01118"/>
    <x v="180"/>
    <s v="22:55"/>
    <x v="1"/>
    <x v="7"/>
    <x v="3"/>
    <n v="1"/>
    <n v="6.95"/>
    <n v="6.95"/>
    <x v="1"/>
    <n v="26"/>
    <x v="23"/>
    <x v="0"/>
    <n v="6.95"/>
    <b v="1"/>
  </r>
  <r>
    <s v="ORD-01119"/>
    <x v="71"/>
    <s v="13:20"/>
    <x v="0"/>
    <x v="12"/>
    <x v="3"/>
    <n v="2"/>
    <n v="7.25"/>
    <n v="14.5"/>
    <x v="1"/>
    <n v="1"/>
    <x v="13"/>
    <x v="0"/>
    <n v="14.5"/>
    <b v="1"/>
  </r>
  <r>
    <s v="ORD-01120"/>
    <x v="185"/>
    <s v="21:55"/>
    <x v="1"/>
    <x v="9"/>
    <x v="1"/>
    <n v="1"/>
    <n v="3.75"/>
    <n v="3.75"/>
    <x v="3"/>
    <n v="19"/>
    <x v="22"/>
    <x v="0"/>
    <n v="3.75"/>
    <b v="1"/>
  </r>
  <r>
    <s v="ORD-01121"/>
    <x v="144"/>
    <s v="20:15"/>
    <x v="1"/>
    <x v="9"/>
    <x v="1"/>
    <n v="2"/>
    <n v="3.75"/>
    <n v="7.5"/>
    <x v="3"/>
    <n v="5"/>
    <x v="7"/>
    <x v="0"/>
    <n v="7.5"/>
    <b v="1"/>
  </r>
  <r>
    <s v="ORD-01122"/>
    <x v="25"/>
    <s v="18:30"/>
    <x v="1"/>
    <x v="14"/>
    <x v="2"/>
    <n v="1"/>
    <n v="6.25"/>
    <n v="6.25"/>
    <x v="1"/>
    <n v="8"/>
    <x v="9"/>
    <x v="0"/>
    <n v="6.25"/>
    <b v="1"/>
  </r>
  <r>
    <s v="ORD-01123"/>
    <x v="70"/>
    <s v="22:45"/>
    <x v="1"/>
    <x v="7"/>
    <x v="3"/>
    <n v="2"/>
    <n v="6.95"/>
    <n v="13.9"/>
    <x v="3"/>
    <n v="6"/>
    <x v="25"/>
    <x v="0"/>
    <n v="13.9"/>
    <b v="1"/>
  </r>
  <r>
    <s v="ORD-01124"/>
    <x v="34"/>
    <s v="11:30"/>
    <x v="0"/>
    <x v="2"/>
    <x v="0"/>
    <n v="2"/>
    <n v="11.5"/>
    <n v="23"/>
    <x v="1"/>
    <n v="5"/>
    <x v="0"/>
    <x v="0"/>
    <n v="23"/>
    <b v="1"/>
  </r>
  <r>
    <s v="ORD-01125"/>
    <x v="16"/>
    <s v="17:55"/>
    <x v="1"/>
    <x v="8"/>
    <x v="0"/>
    <n v="4"/>
    <n v="14.5"/>
    <n v="58"/>
    <x v="0"/>
    <n v="8"/>
    <x v="10"/>
    <x v="0"/>
    <n v="58"/>
    <b v="1"/>
  </r>
  <r>
    <s v="ORD-01126"/>
    <x v="101"/>
    <s v="15:15"/>
    <x v="0"/>
    <x v="7"/>
    <x v="3"/>
    <n v="2"/>
    <n v="6.95"/>
    <n v="13.9"/>
    <x v="1"/>
    <n v="2"/>
    <x v="5"/>
    <x v="0"/>
    <n v="13.9"/>
    <b v="1"/>
  </r>
  <r>
    <s v="ORD-01127"/>
    <x v="163"/>
    <s v="22:45"/>
    <x v="1"/>
    <x v="10"/>
    <x v="0"/>
    <n v="1"/>
    <n v="11.95"/>
    <n v="11.95"/>
    <x v="3"/>
    <n v="9"/>
    <x v="6"/>
    <x v="0"/>
    <n v="11.95"/>
    <b v="1"/>
  </r>
  <r>
    <s v="ORD-01128"/>
    <x v="24"/>
    <s v="13:15"/>
    <x v="0"/>
    <x v="7"/>
    <x v="3"/>
    <n v="1"/>
    <n v="6.95"/>
    <n v="6.95"/>
    <x v="1"/>
    <n v="14"/>
    <x v="20"/>
    <x v="0"/>
    <n v="6.95"/>
    <b v="1"/>
  </r>
  <r>
    <s v="ORD-01129"/>
    <x v="220"/>
    <s v="14:30"/>
    <x v="0"/>
    <x v="14"/>
    <x v="2"/>
    <n v="2"/>
    <n v="6.25"/>
    <n v="12.5"/>
    <x v="3"/>
    <n v="1"/>
    <x v="8"/>
    <x v="0"/>
    <n v="12.5"/>
    <b v="1"/>
  </r>
  <r>
    <s v="ORD-01130"/>
    <x v="1"/>
    <s v="13:25"/>
    <x v="0"/>
    <x v="16"/>
    <x v="1"/>
    <n v="4"/>
    <n v="3.25"/>
    <n v="13"/>
    <x v="1"/>
    <n v="18"/>
    <x v="11"/>
    <x v="0"/>
    <n v="13"/>
    <b v="1"/>
  </r>
  <r>
    <s v="ORD-01131"/>
    <x v="29"/>
    <s v="17:15"/>
    <x v="1"/>
    <x v="9"/>
    <x v="1"/>
    <n v="1"/>
    <n v="3.75"/>
    <n v="3.75"/>
    <x v="3"/>
    <n v="7"/>
    <x v="1"/>
    <x v="0"/>
    <n v="3.75"/>
    <b v="1"/>
  </r>
  <r>
    <s v="ORD-01132"/>
    <x v="59"/>
    <s v="17:25"/>
    <x v="1"/>
    <x v="8"/>
    <x v="0"/>
    <n v="1"/>
    <n v="14.5"/>
    <n v="14.5"/>
    <x v="3"/>
    <n v="23"/>
    <x v="20"/>
    <x v="0"/>
    <n v="14.5"/>
    <b v="1"/>
  </r>
  <r>
    <s v="ORD-01133"/>
    <x v="188"/>
    <s v="12:05"/>
    <x v="0"/>
    <x v="3"/>
    <x v="2"/>
    <n v="2"/>
    <n v="8.5"/>
    <n v="17"/>
    <x v="0"/>
    <n v="16"/>
    <x v="14"/>
    <x v="0"/>
    <n v="17"/>
    <b v="1"/>
  </r>
  <r>
    <s v="ORD-01134"/>
    <x v="256"/>
    <s v="19:10"/>
    <x v="1"/>
    <x v="11"/>
    <x v="0"/>
    <n v="2"/>
    <n v="12.5"/>
    <n v="25"/>
    <x v="3"/>
    <n v="9"/>
    <x v="25"/>
    <x v="0"/>
    <n v="25"/>
    <b v="1"/>
  </r>
  <r>
    <s v="ORD-01135"/>
    <x v="173"/>
    <s v="21:20"/>
    <x v="1"/>
    <x v="17"/>
    <x v="0"/>
    <n v="2"/>
    <n v="15.95"/>
    <n v="31.9"/>
    <x v="0"/>
    <n v="14"/>
    <x v="4"/>
    <x v="0"/>
    <n v="31.9"/>
    <b v="1"/>
  </r>
  <r>
    <s v="ORD-01136"/>
    <x v="231"/>
    <s v="21:05"/>
    <x v="1"/>
    <x v="9"/>
    <x v="1"/>
    <n v="1"/>
    <n v="3.75"/>
    <n v="3.75"/>
    <x v="0"/>
    <n v="19"/>
    <x v="14"/>
    <x v="0"/>
    <n v="3.75"/>
    <b v="1"/>
  </r>
  <r>
    <s v="ORD-01137"/>
    <x v="53"/>
    <s v="17:40"/>
    <x v="1"/>
    <x v="6"/>
    <x v="2"/>
    <n v="2"/>
    <n v="5.5"/>
    <n v="11"/>
    <x v="0"/>
    <n v="17"/>
    <x v="0"/>
    <x v="0"/>
    <n v="11"/>
    <b v="1"/>
  </r>
  <r>
    <s v="ORD-01138"/>
    <x v="134"/>
    <s v="13:30"/>
    <x v="0"/>
    <x v="17"/>
    <x v="0"/>
    <n v="1"/>
    <n v="15.95"/>
    <n v="15.95"/>
    <x v="0"/>
    <n v="7"/>
    <x v="24"/>
    <x v="0"/>
    <n v="15.95"/>
    <b v="1"/>
  </r>
  <r>
    <s v="ORD-01139"/>
    <x v="100"/>
    <s v="13:05"/>
    <x v="0"/>
    <x v="2"/>
    <x v="0"/>
    <n v="1"/>
    <n v="11.5"/>
    <n v="11.5"/>
    <x v="2"/>
    <n v="19"/>
    <x v="7"/>
    <x v="0"/>
    <n v="11.5"/>
    <b v="1"/>
  </r>
  <r>
    <s v="ORD-01140"/>
    <x v="161"/>
    <s v="20:20"/>
    <x v="1"/>
    <x v="9"/>
    <x v="1"/>
    <n v="1"/>
    <n v="3.75"/>
    <n v="3.75"/>
    <x v="0"/>
    <n v="4"/>
    <x v="24"/>
    <x v="0"/>
    <n v="3.75"/>
    <b v="1"/>
  </r>
  <r>
    <s v="ORD-01141"/>
    <x v="23"/>
    <s v="22:30"/>
    <x v="1"/>
    <x v="12"/>
    <x v="3"/>
    <n v="1"/>
    <n v="7.25"/>
    <n v="7.25"/>
    <x v="0"/>
    <n v="16"/>
    <x v="17"/>
    <x v="0"/>
    <n v="7.25"/>
    <b v="1"/>
  </r>
  <r>
    <s v="ORD-01142"/>
    <x v="116"/>
    <s v="17:35"/>
    <x v="1"/>
    <x v="17"/>
    <x v="0"/>
    <n v="2"/>
    <n v="15.95"/>
    <n v="31.9"/>
    <x v="1"/>
    <n v="13"/>
    <x v="13"/>
    <x v="0"/>
    <n v="31.9"/>
    <b v="1"/>
  </r>
  <r>
    <s v="ORD-01143"/>
    <x v="54"/>
    <s v="15:00"/>
    <x v="0"/>
    <x v="15"/>
    <x v="3"/>
    <n v="1"/>
    <n v="5.75"/>
    <n v="5.75"/>
    <x v="1"/>
    <n v="17"/>
    <x v="21"/>
    <x v="0"/>
    <n v="5.75"/>
    <b v="1"/>
  </r>
  <r>
    <s v="ORD-01144"/>
    <x v="131"/>
    <s v="11:30"/>
    <x v="0"/>
    <x v="19"/>
    <x v="2"/>
    <n v="1"/>
    <n v="7.95"/>
    <n v="0"/>
    <x v="0"/>
    <n v="12"/>
    <x v="8"/>
    <x v="2"/>
    <n v="7.95"/>
    <b v="1"/>
  </r>
  <r>
    <s v="ORD-01145"/>
    <x v="41"/>
    <s v="17:30"/>
    <x v="1"/>
    <x v="19"/>
    <x v="2"/>
    <n v="2"/>
    <n v="7.95"/>
    <n v="15.9"/>
    <x v="1"/>
    <n v="30"/>
    <x v="5"/>
    <x v="0"/>
    <n v="15.9"/>
    <b v="1"/>
  </r>
  <r>
    <s v="ORD-01146"/>
    <x v="185"/>
    <s v="17:00"/>
    <x v="1"/>
    <x v="0"/>
    <x v="0"/>
    <n v="1"/>
    <n v="9.9499999999999993"/>
    <n v="9.9499999999999993"/>
    <x v="1"/>
    <n v="5"/>
    <x v="17"/>
    <x v="0"/>
    <n v="9.9499999999999993"/>
    <b v="1"/>
  </r>
  <r>
    <s v="ORD-01147"/>
    <x v="105"/>
    <s v="22:30"/>
    <x v="1"/>
    <x v="0"/>
    <x v="0"/>
    <n v="1"/>
    <n v="9.9499999999999993"/>
    <n v="9.9499999999999993"/>
    <x v="3"/>
    <n v="27"/>
    <x v="20"/>
    <x v="0"/>
    <n v="9.9499999999999993"/>
    <b v="1"/>
  </r>
  <r>
    <s v="ORD-01148"/>
    <x v="210"/>
    <s v="17:20"/>
    <x v="1"/>
    <x v="13"/>
    <x v="0"/>
    <n v="1"/>
    <n v="13.5"/>
    <n v="13.5"/>
    <x v="1"/>
    <n v="3"/>
    <x v="22"/>
    <x v="0"/>
    <n v="13.5"/>
    <b v="1"/>
  </r>
  <r>
    <s v="ORD-01149"/>
    <x v="57"/>
    <s v="12:10"/>
    <x v="0"/>
    <x v="18"/>
    <x v="1"/>
    <n v="1"/>
    <n v="6.5"/>
    <n v="6.5"/>
    <x v="3"/>
    <n v="19"/>
    <x v="4"/>
    <x v="0"/>
    <n v="6.5"/>
    <b v="1"/>
  </r>
  <r>
    <s v="ORD-01150"/>
    <x v="234"/>
    <s v="22:05"/>
    <x v="1"/>
    <x v="1"/>
    <x v="1"/>
    <n v="1"/>
    <n v="3.1"/>
    <n v="3.1"/>
    <x v="0"/>
    <n v="16"/>
    <x v="10"/>
    <x v="0"/>
    <n v="3.1"/>
    <b v="1"/>
  </r>
  <r>
    <s v="ORD-01151"/>
    <x v="146"/>
    <s v="14:15"/>
    <x v="0"/>
    <x v="5"/>
    <x v="0"/>
    <n v="1"/>
    <n v="12.95"/>
    <n v="12.95"/>
    <x v="3"/>
    <n v="27"/>
    <x v="2"/>
    <x v="0"/>
    <n v="12.95"/>
    <b v="1"/>
  </r>
  <r>
    <s v="ORD-01152"/>
    <x v="203"/>
    <s v="17:35"/>
    <x v="1"/>
    <x v="13"/>
    <x v="0"/>
    <n v="1"/>
    <n v="13.5"/>
    <n v="13.5"/>
    <x v="0"/>
    <n v="7"/>
    <x v="2"/>
    <x v="0"/>
    <n v="13.5"/>
    <b v="1"/>
  </r>
  <r>
    <s v="ORD-01153"/>
    <x v="202"/>
    <s v="11:25"/>
    <x v="0"/>
    <x v="11"/>
    <x v="0"/>
    <n v="2"/>
    <n v="12.5"/>
    <n v="-25"/>
    <x v="3"/>
    <n v="25"/>
    <x v="11"/>
    <x v="1"/>
    <n v="25"/>
    <b v="1"/>
  </r>
  <r>
    <s v="ORD-01154"/>
    <x v="194"/>
    <s v="21:05"/>
    <x v="1"/>
    <x v="8"/>
    <x v="0"/>
    <n v="1"/>
    <n v="14.5"/>
    <n v="14.5"/>
    <x v="3"/>
    <n v="13"/>
    <x v="8"/>
    <x v="0"/>
    <n v="14.5"/>
    <b v="1"/>
  </r>
  <r>
    <s v="ORD-01155"/>
    <x v="106"/>
    <s v="14:15"/>
    <x v="0"/>
    <x v="5"/>
    <x v="0"/>
    <n v="1"/>
    <n v="12.95"/>
    <n v="12.95"/>
    <x v="0"/>
    <n v="19"/>
    <x v="0"/>
    <x v="0"/>
    <n v="12.95"/>
    <b v="1"/>
  </r>
  <r>
    <s v="ORD-01156"/>
    <x v="260"/>
    <s v="17:55"/>
    <x v="1"/>
    <x v="10"/>
    <x v="0"/>
    <n v="1"/>
    <n v="11.95"/>
    <n v="11.95"/>
    <x v="1"/>
    <n v="6"/>
    <x v="16"/>
    <x v="0"/>
    <n v="11.95"/>
    <b v="1"/>
  </r>
  <r>
    <s v="ORD-01157"/>
    <x v="67"/>
    <s v="20:25"/>
    <x v="1"/>
    <x v="6"/>
    <x v="2"/>
    <n v="1"/>
    <n v="5.5"/>
    <n v="5.5"/>
    <x v="0"/>
    <n v="5"/>
    <x v="27"/>
    <x v="0"/>
    <n v="5.5"/>
    <b v="1"/>
  </r>
  <r>
    <s v="ORD-01158"/>
    <x v="45"/>
    <s v="17:35"/>
    <x v="1"/>
    <x v="6"/>
    <x v="2"/>
    <n v="1"/>
    <n v="5.5"/>
    <n v="5.5"/>
    <x v="0"/>
    <n v="21"/>
    <x v="21"/>
    <x v="0"/>
    <n v="5.5"/>
    <b v="1"/>
  </r>
  <r>
    <s v="ORD-01159"/>
    <x v="17"/>
    <s v="12:30"/>
    <x v="0"/>
    <x v="17"/>
    <x v="0"/>
    <n v="2"/>
    <n v="15.95"/>
    <n v="31.9"/>
    <x v="0"/>
    <n v="4"/>
    <x v="0"/>
    <x v="0"/>
    <n v="31.9"/>
    <b v="1"/>
  </r>
  <r>
    <s v="ORD-01160"/>
    <x v="227"/>
    <s v="18:05"/>
    <x v="1"/>
    <x v="13"/>
    <x v="0"/>
    <n v="3"/>
    <n v="13.5"/>
    <n v="40.5"/>
    <x v="1"/>
    <n v="9"/>
    <x v="7"/>
    <x v="0"/>
    <n v="40.5"/>
    <b v="1"/>
  </r>
  <r>
    <s v="ORD-01161"/>
    <x v="235"/>
    <s v="12:45"/>
    <x v="0"/>
    <x v="7"/>
    <x v="3"/>
    <n v="1"/>
    <n v="6.95"/>
    <n v="6.95"/>
    <x v="1"/>
    <n v="23"/>
    <x v="20"/>
    <x v="0"/>
    <n v="6.95"/>
    <b v="1"/>
  </r>
  <r>
    <s v="ORD-01162"/>
    <x v="203"/>
    <s v="12:25"/>
    <x v="0"/>
    <x v="19"/>
    <x v="2"/>
    <n v="2"/>
    <n v="7.95"/>
    <n v="15.9"/>
    <x v="1"/>
    <n v="24"/>
    <x v="23"/>
    <x v="0"/>
    <n v="15.9"/>
    <b v="1"/>
  </r>
  <r>
    <s v="ORD-01163"/>
    <x v="249"/>
    <s v="22:45"/>
    <x v="1"/>
    <x v="16"/>
    <x v="1"/>
    <n v="2"/>
    <n v="3.25"/>
    <n v="6.5"/>
    <x v="1"/>
    <n v="3"/>
    <x v="14"/>
    <x v="0"/>
    <n v="6.5"/>
    <b v="1"/>
  </r>
  <r>
    <s v="ORD-01164"/>
    <x v="35"/>
    <s v="18:00"/>
    <x v="1"/>
    <x v="16"/>
    <x v="1"/>
    <n v="1"/>
    <n v="3.25"/>
    <n v="3.25"/>
    <x v="3"/>
    <n v="6"/>
    <x v="20"/>
    <x v="0"/>
    <n v="3.25"/>
    <b v="1"/>
  </r>
  <r>
    <s v="ORD-01165"/>
    <x v="220"/>
    <s v="11:45"/>
    <x v="0"/>
    <x v="3"/>
    <x v="2"/>
    <n v="3"/>
    <n v="8.5"/>
    <n v="25.5"/>
    <x v="1"/>
    <n v="16"/>
    <x v="15"/>
    <x v="0"/>
    <n v="25.5"/>
    <b v="1"/>
  </r>
  <r>
    <s v="ORD-01166"/>
    <x v="131"/>
    <s v="19:15"/>
    <x v="1"/>
    <x v="1"/>
    <x v="1"/>
    <n v="1"/>
    <n v="3.1"/>
    <n v="0"/>
    <x v="2"/>
    <n v="5"/>
    <x v="14"/>
    <x v="2"/>
    <n v="3.1"/>
    <b v="1"/>
  </r>
  <r>
    <s v="ORD-01167"/>
    <x v="149"/>
    <s v="13:35"/>
    <x v="0"/>
    <x v="16"/>
    <x v="1"/>
    <n v="2"/>
    <n v="3.25"/>
    <n v="6.5"/>
    <x v="0"/>
    <n v="12"/>
    <x v="24"/>
    <x v="0"/>
    <n v="6.5"/>
    <b v="1"/>
  </r>
  <r>
    <s v="ORD-01168"/>
    <x v="129"/>
    <s v="13:40"/>
    <x v="0"/>
    <x v="9"/>
    <x v="1"/>
    <n v="1"/>
    <n v="3.75"/>
    <n v="3.75"/>
    <x v="0"/>
    <n v="22"/>
    <x v="7"/>
    <x v="0"/>
    <n v="3.75"/>
    <b v="1"/>
  </r>
  <r>
    <s v="ORD-01169"/>
    <x v="54"/>
    <s v="14:15"/>
    <x v="0"/>
    <x v="8"/>
    <x v="0"/>
    <n v="1"/>
    <n v="14.5"/>
    <n v="14.5"/>
    <x v="0"/>
    <n v="14"/>
    <x v="10"/>
    <x v="0"/>
    <n v="14.5"/>
    <b v="1"/>
  </r>
  <r>
    <s v="ORD-01170"/>
    <x v="225"/>
    <s v="14:50"/>
    <x v="0"/>
    <x v="10"/>
    <x v="0"/>
    <n v="3"/>
    <n v="11.95"/>
    <n v="35.85"/>
    <x v="0"/>
    <n v="22"/>
    <x v="27"/>
    <x v="0"/>
    <n v="35.849999999999994"/>
    <b v="1"/>
  </r>
  <r>
    <s v="ORD-01171"/>
    <x v="183"/>
    <s v="21:10"/>
    <x v="1"/>
    <x v="6"/>
    <x v="2"/>
    <n v="3"/>
    <n v="5.5"/>
    <n v="16.5"/>
    <x v="3"/>
    <n v="14"/>
    <x v="18"/>
    <x v="0"/>
    <n v="16.5"/>
    <b v="1"/>
  </r>
  <r>
    <s v="ORD-01172"/>
    <x v="174"/>
    <s v="11:45"/>
    <x v="0"/>
    <x v="1"/>
    <x v="1"/>
    <n v="2"/>
    <n v="3.1"/>
    <n v="6.2"/>
    <x v="0"/>
    <n v="4"/>
    <x v="11"/>
    <x v="0"/>
    <n v="6.2"/>
    <b v="1"/>
  </r>
  <r>
    <s v="ORD-01173"/>
    <x v="194"/>
    <s v="19:20"/>
    <x v="1"/>
    <x v="10"/>
    <x v="0"/>
    <n v="3"/>
    <n v="11.95"/>
    <n v="35.85"/>
    <x v="1"/>
    <n v="22"/>
    <x v="21"/>
    <x v="0"/>
    <n v="35.849999999999994"/>
    <b v="1"/>
  </r>
  <r>
    <s v="ORD-01174"/>
    <x v="222"/>
    <s v="22:10"/>
    <x v="1"/>
    <x v="19"/>
    <x v="2"/>
    <n v="1"/>
    <n v="7.95"/>
    <n v="7.95"/>
    <x v="1"/>
    <n v="26"/>
    <x v="20"/>
    <x v="0"/>
    <n v="7.95"/>
    <b v="1"/>
  </r>
  <r>
    <s v="ORD-01175"/>
    <x v="194"/>
    <s v="13:45"/>
    <x v="0"/>
    <x v="10"/>
    <x v="0"/>
    <n v="1"/>
    <n v="11.95"/>
    <n v="11.95"/>
    <x v="1"/>
    <n v="27"/>
    <x v="13"/>
    <x v="0"/>
    <n v="11.95"/>
    <b v="1"/>
  </r>
  <r>
    <s v="ORD-01176"/>
    <x v="68"/>
    <s v="13:40"/>
    <x v="0"/>
    <x v="4"/>
    <x v="1"/>
    <n v="1"/>
    <n v="2.8"/>
    <n v="2.8"/>
    <x v="1"/>
    <n v="23"/>
    <x v="22"/>
    <x v="0"/>
    <n v="2.8"/>
    <b v="1"/>
  </r>
  <r>
    <s v="ORD-01177"/>
    <x v="175"/>
    <s v="17:20"/>
    <x v="1"/>
    <x v="0"/>
    <x v="0"/>
    <n v="1"/>
    <n v="9.9499999999999993"/>
    <n v="9.9499999999999993"/>
    <x v="0"/>
    <n v="13"/>
    <x v="17"/>
    <x v="0"/>
    <n v="9.9499999999999993"/>
    <b v="1"/>
  </r>
  <r>
    <s v="ORD-01178"/>
    <x v="22"/>
    <s v="19:45"/>
    <x v="1"/>
    <x v="19"/>
    <x v="2"/>
    <n v="1"/>
    <n v="7.95"/>
    <n v="7.95"/>
    <x v="3"/>
    <n v="22"/>
    <x v="25"/>
    <x v="0"/>
    <n v="7.95"/>
    <b v="1"/>
  </r>
  <r>
    <s v="ORD-01179"/>
    <x v="127"/>
    <s v="18:20"/>
    <x v="1"/>
    <x v="8"/>
    <x v="0"/>
    <n v="1"/>
    <n v="14.5"/>
    <n v="14.5"/>
    <x v="3"/>
    <n v="19"/>
    <x v="19"/>
    <x v="0"/>
    <n v="14.5"/>
    <b v="1"/>
  </r>
  <r>
    <s v="ORD-01180"/>
    <x v="85"/>
    <s v="20:30"/>
    <x v="1"/>
    <x v="10"/>
    <x v="0"/>
    <n v="1"/>
    <n v="11.95"/>
    <n v="11.95"/>
    <x v="1"/>
    <n v="23"/>
    <x v="6"/>
    <x v="0"/>
    <n v="11.95"/>
    <b v="1"/>
  </r>
  <r>
    <s v="ORD-01181"/>
    <x v="103"/>
    <s v="20:35"/>
    <x v="1"/>
    <x v="12"/>
    <x v="3"/>
    <n v="3"/>
    <n v="7.25"/>
    <n v="21.75"/>
    <x v="0"/>
    <n v="25"/>
    <x v="12"/>
    <x v="0"/>
    <n v="21.75"/>
    <b v="1"/>
  </r>
  <r>
    <s v="ORD-01182"/>
    <x v="127"/>
    <s v="19:15"/>
    <x v="1"/>
    <x v="18"/>
    <x v="1"/>
    <n v="1"/>
    <n v="6.5"/>
    <n v="6.5"/>
    <x v="0"/>
    <n v="20"/>
    <x v="2"/>
    <x v="0"/>
    <n v="6.5"/>
    <b v="1"/>
  </r>
  <r>
    <s v="ORD-01183"/>
    <x v="92"/>
    <s v="14:10"/>
    <x v="0"/>
    <x v="7"/>
    <x v="3"/>
    <n v="2"/>
    <n v="6.95"/>
    <n v="13.9"/>
    <x v="2"/>
    <n v="15"/>
    <x v="17"/>
    <x v="0"/>
    <n v="13.9"/>
    <b v="1"/>
  </r>
  <r>
    <s v="ORD-01184"/>
    <x v="113"/>
    <s v="11:25"/>
    <x v="0"/>
    <x v="9"/>
    <x v="1"/>
    <n v="1"/>
    <n v="3.75"/>
    <n v="3.75"/>
    <x v="0"/>
    <n v="19"/>
    <x v="1"/>
    <x v="0"/>
    <n v="3.75"/>
    <b v="1"/>
  </r>
  <r>
    <s v="ORD-01185"/>
    <x v="153"/>
    <s v="17:55"/>
    <x v="1"/>
    <x v="18"/>
    <x v="1"/>
    <n v="2"/>
    <n v="6.5"/>
    <n v="0"/>
    <x v="1"/>
    <n v="17"/>
    <x v="5"/>
    <x v="2"/>
    <n v="13"/>
    <b v="1"/>
  </r>
  <r>
    <s v="ORD-01186"/>
    <x v="65"/>
    <s v="12:20"/>
    <x v="0"/>
    <x v="19"/>
    <x v="2"/>
    <n v="2"/>
    <n v="7.95"/>
    <n v="15.9"/>
    <x v="0"/>
    <n v="26"/>
    <x v="16"/>
    <x v="0"/>
    <n v="15.9"/>
    <b v="1"/>
  </r>
  <r>
    <s v="ORD-01187"/>
    <x v="150"/>
    <s v="11:10"/>
    <x v="0"/>
    <x v="9"/>
    <x v="1"/>
    <n v="2"/>
    <n v="3.75"/>
    <n v="7.5"/>
    <x v="1"/>
    <n v="16"/>
    <x v="9"/>
    <x v="0"/>
    <n v="7.5"/>
    <b v="1"/>
  </r>
  <r>
    <s v="ORD-01188"/>
    <x v="50"/>
    <s v="17:05"/>
    <x v="1"/>
    <x v="19"/>
    <x v="2"/>
    <n v="1"/>
    <n v="7.95"/>
    <n v="7.95"/>
    <x v="1"/>
    <n v="27"/>
    <x v="6"/>
    <x v="0"/>
    <n v="7.95"/>
    <b v="1"/>
  </r>
  <r>
    <s v="ORD-01189"/>
    <x v="221"/>
    <s v="22:35"/>
    <x v="1"/>
    <x v="9"/>
    <x v="1"/>
    <n v="1"/>
    <n v="3.75"/>
    <n v="3.75"/>
    <x v="0"/>
    <n v="27"/>
    <x v="0"/>
    <x v="0"/>
    <n v="3.75"/>
    <b v="1"/>
  </r>
  <r>
    <s v="ORD-01190"/>
    <x v="144"/>
    <s v="15:15"/>
    <x v="0"/>
    <x v="16"/>
    <x v="1"/>
    <n v="1"/>
    <n v="3.25"/>
    <n v="3.25"/>
    <x v="1"/>
    <n v="22"/>
    <x v="16"/>
    <x v="0"/>
    <n v="3.25"/>
    <b v="1"/>
  </r>
  <r>
    <s v="ORD-01191"/>
    <x v="78"/>
    <s v="13:30"/>
    <x v="0"/>
    <x v="7"/>
    <x v="3"/>
    <n v="2"/>
    <n v="6.95"/>
    <n v="13.9"/>
    <x v="1"/>
    <n v="5"/>
    <x v="11"/>
    <x v="0"/>
    <n v="13.9"/>
    <b v="1"/>
  </r>
  <r>
    <s v="ORD-01192"/>
    <x v="128"/>
    <s v="14:00"/>
    <x v="0"/>
    <x v="18"/>
    <x v="1"/>
    <n v="1"/>
    <n v="6.5"/>
    <n v="6.5"/>
    <x v="3"/>
    <n v="21"/>
    <x v="5"/>
    <x v="0"/>
    <n v="6.5"/>
    <b v="1"/>
  </r>
  <r>
    <s v="ORD-01193"/>
    <x v="229"/>
    <s v="13:10"/>
    <x v="0"/>
    <x v="15"/>
    <x v="3"/>
    <n v="3"/>
    <n v="5.75"/>
    <n v="17.25"/>
    <x v="0"/>
    <n v="12"/>
    <x v="14"/>
    <x v="0"/>
    <n v="17.25"/>
    <b v="1"/>
  </r>
  <r>
    <s v="ORD-01194"/>
    <x v="27"/>
    <s v="15:30"/>
    <x v="0"/>
    <x v="1"/>
    <x v="1"/>
    <n v="1"/>
    <n v="3.1"/>
    <n v="3.1"/>
    <x v="0"/>
    <n v="5"/>
    <x v="27"/>
    <x v="0"/>
    <n v="3.1"/>
    <b v="1"/>
  </r>
  <r>
    <s v="ORD-01195"/>
    <x v="269"/>
    <s v="18:20"/>
    <x v="1"/>
    <x v="19"/>
    <x v="2"/>
    <n v="3"/>
    <n v="7.95"/>
    <n v="23.85"/>
    <x v="3"/>
    <n v="13"/>
    <x v="12"/>
    <x v="0"/>
    <n v="23.85"/>
    <b v="1"/>
  </r>
  <r>
    <s v="ORD-01196"/>
    <x v="176"/>
    <s v="21:50"/>
    <x v="1"/>
    <x v="1"/>
    <x v="1"/>
    <n v="1"/>
    <n v="3.1"/>
    <n v="3.1"/>
    <x v="0"/>
    <n v="11"/>
    <x v="24"/>
    <x v="0"/>
    <n v="3.1"/>
    <b v="1"/>
  </r>
  <r>
    <s v="ORD-01197"/>
    <x v="126"/>
    <s v="20:05"/>
    <x v="1"/>
    <x v="13"/>
    <x v="0"/>
    <n v="1"/>
    <n v="13.5"/>
    <n v="13.5"/>
    <x v="0"/>
    <n v="4"/>
    <x v="13"/>
    <x v="0"/>
    <n v="13.5"/>
    <b v="1"/>
  </r>
  <r>
    <s v="ORD-01198"/>
    <x v="67"/>
    <s v="12:55"/>
    <x v="0"/>
    <x v="0"/>
    <x v="0"/>
    <n v="1"/>
    <n v="9.9499999999999993"/>
    <n v="9.9499999999999993"/>
    <x v="3"/>
    <n v="24"/>
    <x v="20"/>
    <x v="0"/>
    <n v="9.9499999999999993"/>
    <b v="1"/>
  </r>
  <r>
    <s v="ORD-01199"/>
    <x v="159"/>
    <s v="17:45"/>
    <x v="1"/>
    <x v="6"/>
    <x v="2"/>
    <n v="1"/>
    <n v="5.5"/>
    <n v="0"/>
    <x v="0"/>
    <n v="20"/>
    <x v="25"/>
    <x v="2"/>
    <n v="5.5"/>
    <b v="1"/>
  </r>
  <r>
    <s v="ORD-01200"/>
    <x v="134"/>
    <s v="19:05"/>
    <x v="1"/>
    <x v="15"/>
    <x v="3"/>
    <n v="1"/>
    <n v="5.75"/>
    <n v="5.75"/>
    <x v="0"/>
    <n v="19"/>
    <x v="18"/>
    <x v="0"/>
    <n v="5.75"/>
    <b v="1"/>
  </r>
  <r>
    <s v="ORD-01201"/>
    <x v="175"/>
    <s v="14:50"/>
    <x v="0"/>
    <x v="19"/>
    <x v="2"/>
    <n v="1"/>
    <n v="7.95"/>
    <n v="0"/>
    <x v="2"/>
    <n v="26"/>
    <x v="13"/>
    <x v="2"/>
    <n v="7.95"/>
    <b v="1"/>
  </r>
  <r>
    <s v="ORD-01202"/>
    <x v="64"/>
    <s v="22:50"/>
    <x v="1"/>
    <x v="10"/>
    <x v="0"/>
    <n v="1"/>
    <n v="11.95"/>
    <n v="11.95"/>
    <x v="1"/>
    <n v="29"/>
    <x v="25"/>
    <x v="0"/>
    <n v="11.95"/>
    <b v="1"/>
  </r>
  <r>
    <s v="ORD-01203"/>
    <x v="38"/>
    <s v="17:25"/>
    <x v="1"/>
    <x v="17"/>
    <x v="0"/>
    <n v="2"/>
    <n v="15.95"/>
    <n v="31.9"/>
    <x v="1"/>
    <n v="27"/>
    <x v="7"/>
    <x v="0"/>
    <n v="31.9"/>
    <b v="1"/>
  </r>
  <r>
    <s v="ORD-01204"/>
    <x v="46"/>
    <s v="19:45"/>
    <x v="1"/>
    <x v="4"/>
    <x v="1"/>
    <n v="2"/>
    <n v="2.8"/>
    <n v="5.6"/>
    <x v="0"/>
    <n v="15"/>
    <x v="4"/>
    <x v="0"/>
    <n v="5.6"/>
    <b v="1"/>
  </r>
  <r>
    <s v="ORD-01205"/>
    <x v="252"/>
    <s v="21:05"/>
    <x v="1"/>
    <x v="8"/>
    <x v="0"/>
    <n v="2"/>
    <n v="14.5"/>
    <n v="29"/>
    <x v="0"/>
    <n v="2"/>
    <x v="27"/>
    <x v="0"/>
    <n v="29"/>
    <b v="1"/>
  </r>
  <r>
    <s v="ORD-01206"/>
    <x v="153"/>
    <s v="13:20"/>
    <x v="0"/>
    <x v="7"/>
    <x v="3"/>
    <n v="2"/>
    <n v="6.95"/>
    <n v="13.9"/>
    <x v="3"/>
    <n v="28"/>
    <x v="17"/>
    <x v="0"/>
    <n v="13.9"/>
    <b v="1"/>
  </r>
  <r>
    <s v="ORD-01207"/>
    <x v="270"/>
    <s v="15:15"/>
    <x v="0"/>
    <x v="1"/>
    <x v="1"/>
    <n v="3"/>
    <n v="3.1"/>
    <n v="9.3000000000000007"/>
    <x v="0"/>
    <n v="18"/>
    <x v="11"/>
    <x v="0"/>
    <n v="9.3000000000000007"/>
    <b v="1"/>
  </r>
  <r>
    <s v="ORD-01208"/>
    <x v="253"/>
    <s v="19:50"/>
    <x v="1"/>
    <x v="2"/>
    <x v="0"/>
    <n v="1"/>
    <n v="11.5"/>
    <n v="11.5"/>
    <x v="1"/>
    <n v="9"/>
    <x v="12"/>
    <x v="0"/>
    <n v="11.5"/>
    <b v="1"/>
  </r>
  <r>
    <s v="ORD-01209"/>
    <x v="168"/>
    <s v="15:55"/>
    <x v="0"/>
    <x v="14"/>
    <x v="2"/>
    <n v="3"/>
    <n v="6.25"/>
    <n v="18.75"/>
    <x v="1"/>
    <n v="16"/>
    <x v="8"/>
    <x v="0"/>
    <n v="18.75"/>
    <b v="1"/>
  </r>
  <r>
    <s v="ORD-01210"/>
    <x v="261"/>
    <s v="11:30"/>
    <x v="0"/>
    <x v="9"/>
    <x v="1"/>
    <n v="2"/>
    <n v="3.75"/>
    <n v="7.5"/>
    <x v="0"/>
    <n v="29"/>
    <x v="4"/>
    <x v="0"/>
    <n v="7.5"/>
    <b v="1"/>
  </r>
  <r>
    <s v="ORD-01211"/>
    <x v="214"/>
    <s v="11:05"/>
    <x v="0"/>
    <x v="13"/>
    <x v="0"/>
    <n v="1"/>
    <n v="13.5"/>
    <n v="13.5"/>
    <x v="2"/>
    <n v="10"/>
    <x v="9"/>
    <x v="0"/>
    <n v="13.5"/>
    <b v="1"/>
  </r>
  <r>
    <s v="ORD-01212"/>
    <x v="91"/>
    <s v="11:00"/>
    <x v="0"/>
    <x v="11"/>
    <x v="0"/>
    <n v="1"/>
    <n v="12.5"/>
    <n v="12.5"/>
    <x v="0"/>
    <n v="22"/>
    <x v="0"/>
    <x v="0"/>
    <n v="12.5"/>
    <b v="1"/>
  </r>
  <r>
    <s v="ORD-01213"/>
    <x v="243"/>
    <s v="17:30"/>
    <x v="1"/>
    <x v="7"/>
    <x v="3"/>
    <n v="2"/>
    <n v="6.95"/>
    <n v="13.9"/>
    <x v="0"/>
    <n v="4"/>
    <x v="8"/>
    <x v="0"/>
    <n v="13.9"/>
    <b v="1"/>
  </r>
  <r>
    <s v="ORD-01214"/>
    <x v="138"/>
    <s v="13:30"/>
    <x v="0"/>
    <x v="13"/>
    <x v="0"/>
    <n v="1"/>
    <n v="13.5"/>
    <n v="13.5"/>
    <x v="1"/>
    <n v="19"/>
    <x v="24"/>
    <x v="0"/>
    <n v="13.5"/>
    <b v="1"/>
  </r>
  <r>
    <s v="ORD-01215"/>
    <x v="234"/>
    <s v="21:45"/>
    <x v="1"/>
    <x v="13"/>
    <x v="0"/>
    <n v="4"/>
    <n v="13.5"/>
    <n v="54"/>
    <x v="1"/>
    <n v="2"/>
    <x v="21"/>
    <x v="0"/>
    <n v="54"/>
    <b v="1"/>
  </r>
  <r>
    <s v="ORD-01216"/>
    <x v="70"/>
    <s v="19:00"/>
    <x v="1"/>
    <x v="14"/>
    <x v="2"/>
    <n v="1"/>
    <n v="6.25"/>
    <n v="6.25"/>
    <x v="1"/>
    <n v="29"/>
    <x v="10"/>
    <x v="0"/>
    <n v="6.25"/>
    <b v="1"/>
  </r>
  <r>
    <s v="ORD-01217"/>
    <x v="215"/>
    <s v="14:35"/>
    <x v="0"/>
    <x v="10"/>
    <x v="0"/>
    <n v="2"/>
    <n v="11.95"/>
    <n v="23.9"/>
    <x v="0"/>
    <n v="16"/>
    <x v="7"/>
    <x v="0"/>
    <n v="23.9"/>
    <b v="1"/>
  </r>
  <r>
    <s v="ORD-01218"/>
    <x v="133"/>
    <s v="18:35"/>
    <x v="1"/>
    <x v="19"/>
    <x v="2"/>
    <n v="3"/>
    <n v="7.95"/>
    <n v="-23.85"/>
    <x v="1"/>
    <n v="18"/>
    <x v="12"/>
    <x v="1"/>
    <n v="23.85"/>
    <b v="1"/>
  </r>
  <r>
    <s v="ORD-01219"/>
    <x v="7"/>
    <s v="19:25"/>
    <x v="1"/>
    <x v="4"/>
    <x v="1"/>
    <n v="1"/>
    <n v="2.8"/>
    <n v="2.8"/>
    <x v="0"/>
    <n v="20"/>
    <x v="22"/>
    <x v="0"/>
    <n v="2.8"/>
    <b v="1"/>
  </r>
  <r>
    <s v="ORD-01220"/>
    <x v="16"/>
    <s v="12:40"/>
    <x v="0"/>
    <x v="0"/>
    <x v="0"/>
    <n v="1"/>
    <n v="9.9499999999999993"/>
    <n v="9.9499999999999993"/>
    <x v="1"/>
    <n v="7"/>
    <x v="13"/>
    <x v="0"/>
    <n v="9.9499999999999993"/>
    <b v="1"/>
  </r>
  <r>
    <s v="ORD-01221"/>
    <x v="112"/>
    <s v="12:55"/>
    <x v="0"/>
    <x v="15"/>
    <x v="3"/>
    <n v="2"/>
    <n v="5.75"/>
    <n v="11.5"/>
    <x v="1"/>
    <n v="27"/>
    <x v="8"/>
    <x v="0"/>
    <n v="11.5"/>
    <b v="1"/>
  </r>
  <r>
    <s v="ORD-01222"/>
    <x v="20"/>
    <s v="19:05"/>
    <x v="1"/>
    <x v="13"/>
    <x v="0"/>
    <n v="1"/>
    <n v="13.5"/>
    <n v="13.5"/>
    <x v="0"/>
    <n v="13"/>
    <x v="19"/>
    <x v="0"/>
    <n v="13.5"/>
    <b v="1"/>
  </r>
  <r>
    <s v="ORD-01223"/>
    <x v="219"/>
    <s v="17:15"/>
    <x v="1"/>
    <x v="11"/>
    <x v="0"/>
    <n v="1"/>
    <n v="12.5"/>
    <n v="12.5"/>
    <x v="1"/>
    <n v="10"/>
    <x v="20"/>
    <x v="0"/>
    <n v="12.5"/>
    <b v="1"/>
  </r>
  <r>
    <s v="ORD-01224"/>
    <x v="126"/>
    <s v="21:25"/>
    <x v="1"/>
    <x v="6"/>
    <x v="2"/>
    <n v="2"/>
    <n v="5.5"/>
    <n v="11"/>
    <x v="2"/>
    <n v="7"/>
    <x v="17"/>
    <x v="0"/>
    <n v="11"/>
    <b v="1"/>
  </r>
  <r>
    <s v="ORD-01225"/>
    <x v="258"/>
    <s v="21:30"/>
    <x v="1"/>
    <x v="12"/>
    <x v="3"/>
    <n v="2"/>
    <n v="7.25"/>
    <n v="0"/>
    <x v="0"/>
    <n v="18"/>
    <x v="17"/>
    <x v="2"/>
    <n v="14.5"/>
    <b v="1"/>
  </r>
  <r>
    <s v="ORD-01226"/>
    <x v="270"/>
    <s v="21:35"/>
    <x v="1"/>
    <x v="12"/>
    <x v="3"/>
    <n v="1"/>
    <n v="7.25"/>
    <n v="7.25"/>
    <x v="0"/>
    <n v="25"/>
    <x v="22"/>
    <x v="0"/>
    <n v="7.25"/>
    <b v="1"/>
  </r>
  <r>
    <s v="ORD-01227"/>
    <x v="255"/>
    <s v="20:55"/>
    <x v="1"/>
    <x v="0"/>
    <x v="0"/>
    <n v="1"/>
    <n v="9.9499999999999993"/>
    <n v="9.9499999999999993"/>
    <x v="1"/>
    <n v="9"/>
    <x v="20"/>
    <x v="0"/>
    <n v="9.9499999999999993"/>
    <b v="1"/>
  </r>
  <r>
    <s v="ORD-01228"/>
    <x v="227"/>
    <s v="19:25"/>
    <x v="1"/>
    <x v="18"/>
    <x v="1"/>
    <n v="1"/>
    <n v="6.5"/>
    <n v="6.5"/>
    <x v="0"/>
    <n v="9"/>
    <x v="13"/>
    <x v="0"/>
    <n v="6.5"/>
    <b v="1"/>
  </r>
  <r>
    <s v="ORD-01229"/>
    <x v="68"/>
    <s v="21:00"/>
    <x v="1"/>
    <x v="10"/>
    <x v="0"/>
    <n v="1"/>
    <n v="11.95"/>
    <n v="11.95"/>
    <x v="0"/>
    <n v="6"/>
    <x v="8"/>
    <x v="0"/>
    <n v="11.95"/>
    <b v="1"/>
  </r>
  <r>
    <s v="ORD-01230"/>
    <x v="131"/>
    <s v="20:00"/>
    <x v="1"/>
    <x v="3"/>
    <x v="2"/>
    <n v="1"/>
    <n v="8.5"/>
    <n v="8.5"/>
    <x v="0"/>
    <n v="7"/>
    <x v="18"/>
    <x v="0"/>
    <n v="8.5"/>
    <b v="1"/>
  </r>
  <r>
    <s v="ORD-01231"/>
    <x v="16"/>
    <s v="15:40"/>
    <x v="0"/>
    <x v="14"/>
    <x v="2"/>
    <n v="3"/>
    <n v="6.25"/>
    <n v="18.75"/>
    <x v="1"/>
    <n v="9"/>
    <x v="17"/>
    <x v="0"/>
    <n v="18.75"/>
    <b v="1"/>
  </r>
  <r>
    <s v="ORD-01232"/>
    <x v="65"/>
    <s v="12:10"/>
    <x v="0"/>
    <x v="9"/>
    <x v="1"/>
    <n v="2"/>
    <n v="3.75"/>
    <n v="7.5"/>
    <x v="0"/>
    <n v="4"/>
    <x v="20"/>
    <x v="0"/>
    <n v="7.5"/>
    <b v="1"/>
  </r>
  <r>
    <s v="ORD-01233"/>
    <x v="249"/>
    <s v="20:45"/>
    <x v="1"/>
    <x v="14"/>
    <x v="2"/>
    <n v="1"/>
    <n v="6.25"/>
    <n v="6.25"/>
    <x v="3"/>
    <n v="9"/>
    <x v="6"/>
    <x v="0"/>
    <n v="6.25"/>
    <b v="1"/>
  </r>
  <r>
    <s v="ORD-01234"/>
    <x v="131"/>
    <s v="19:40"/>
    <x v="1"/>
    <x v="13"/>
    <x v="0"/>
    <n v="2"/>
    <n v="13.5"/>
    <n v="27"/>
    <x v="1"/>
    <n v="4"/>
    <x v="31"/>
    <x v="0"/>
    <n v="27"/>
    <b v="1"/>
  </r>
  <r>
    <s v="ORD-01235"/>
    <x v="229"/>
    <s v="11:15"/>
    <x v="0"/>
    <x v="11"/>
    <x v="0"/>
    <n v="1"/>
    <n v="12.5"/>
    <n v="12.5"/>
    <x v="0"/>
    <n v="3"/>
    <x v="17"/>
    <x v="0"/>
    <n v="12.5"/>
    <b v="1"/>
  </r>
  <r>
    <s v="ORD-01236"/>
    <x v="124"/>
    <s v="13:45"/>
    <x v="0"/>
    <x v="3"/>
    <x v="2"/>
    <n v="1"/>
    <n v="8.5"/>
    <n v="8.5"/>
    <x v="0"/>
    <n v="29"/>
    <x v="24"/>
    <x v="0"/>
    <n v="8.5"/>
    <b v="1"/>
  </r>
  <r>
    <s v="ORD-01237"/>
    <x v="76"/>
    <s v="19:45"/>
    <x v="1"/>
    <x v="2"/>
    <x v="0"/>
    <n v="1"/>
    <n v="11.5"/>
    <n v="11.5"/>
    <x v="1"/>
    <n v="19"/>
    <x v="19"/>
    <x v="0"/>
    <n v="11.5"/>
    <b v="1"/>
  </r>
  <r>
    <s v="ORD-01238"/>
    <x v="223"/>
    <s v="21:55"/>
    <x v="1"/>
    <x v="1"/>
    <x v="1"/>
    <n v="2"/>
    <n v="3.1"/>
    <n v="6.2"/>
    <x v="3"/>
    <n v="12"/>
    <x v="10"/>
    <x v="0"/>
    <n v="6.2"/>
    <b v="1"/>
  </r>
  <r>
    <s v="ORD-01239"/>
    <x v="165"/>
    <s v="17:50"/>
    <x v="1"/>
    <x v="8"/>
    <x v="0"/>
    <n v="1"/>
    <n v="14.5"/>
    <n v="14.5"/>
    <x v="3"/>
    <n v="30"/>
    <x v="6"/>
    <x v="0"/>
    <n v="14.5"/>
    <b v="1"/>
  </r>
  <r>
    <s v="ORD-01240"/>
    <x v="27"/>
    <s v="22:40"/>
    <x v="1"/>
    <x v="12"/>
    <x v="3"/>
    <n v="1"/>
    <n v="7.25"/>
    <n v="7.25"/>
    <x v="3"/>
    <n v="28"/>
    <x v="13"/>
    <x v="0"/>
    <n v="7.25"/>
    <b v="1"/>
  </r>
  <r>
    <s v="ORD-01241"/>
    <x v="145"/>
    <s v="22:40"/>
    <x v="1"/>
    <x v="1"/>
    <x v="1"/>
    <n v="1"/>
    <n v="3.1"/>
    <n v="3.1"/>
    <x v="1"/>
    <n v="30"/>
    <x v="7"/>
    <x v="0"/>
    <n v="3.1"/>
    <b v="1"/>
  </r>
  <r>
    <s v="ORD-01242"/>
    <x v="164"/>
    <s v="19:15"/>
    <x v="1"/>
    <x v="15"/>
    <x v="3"/>
    <n v="1"/>
    <n v="5.75"/>
    <n v="5.75"/>
    <x v="1"/>
    <n v="23"/>
    <x v="12"/>
    <x v="0"/>
    <n v="5.75"/>
    <b v="1"/>
  </r>
  <r>
    <s v="ORD-01243"/>
    <x v="177"/>
    <s v="13:40"/>
    <x v="0"/>
    <x v="1"/>
    <x v="1"/>
    <n v="1"/>
    <n v="3.1"/>
    <n v="3.1"/>
    <x v="2"/>
    <n v="15"/>
    <x v="3"/>
    <x v="0"/>
    <n v="3.1"/>
    <b v="1"/>
  </r>
  <r>
    <s v="ORD-01244"/>
    <x v="79"/>
    <s v="18:40"/>
    <x v="1"/>
    <x v="0"/>
    <x v="0"/>
    <n v="2"/>
    <n v="9.9499999999999993"/>
    <n v="19.899999999999999"/>
    <x v="0"/>
    <n v="22"/>
    <x v="14"/>
    <x v="0"/>
    <n v="19.899999999999999"/>
    <b v="1"/>
  </r>
  <r>
    <s v="ORD-01245"/>
    <x v="96"/>
    <s v="19:25"/>
    <x v="1"/>
    <x v="14"/>
    <x v="2"/>
    <n v="1"/>
    <n v="6.25"/>
    <n v="6.25"/>
    <x v="0"/>
    <n v="19"/>
    <x v="11"/>
    <x v="0"/>
    <n v="6.25"/>
    <b v="1"/>
  </r>
  <r>
    <s v="ORD-01246"/>
    <x v="60"/>
    <s v="20:00"/>
    <x v="1"/>
    <x v="17"/>
    <x v="0"/>
    <n v="1"/>
    <n v="15.95"/>
    <n v="15.95"/>
    <x v="0"/>
    <n v="25"/>
    <x v="15"/>
    <x v="0"/>
    <n v="15.95"/>
    <b v="1"/>
  </r>
  <r>
    <s v="ORD-01247"/>
    <x v="76"/>
    <s v="18:00"/>
    <x v="1"/>
    <x v="12"/>
    <x v="3"/>
    <n v="1"/>
    <n v="7.25"/>
    <n v="7.25"/>
    <x v="0"/>
    <n v="28"/>
    <x v="21"/>
    <x v="0"/>
    <n v="7.25"/>
    <b v="1"/>
  </r>
  <r>
    <s v="ORD-01248"/>
    <x v="264"/>
    <s v="19:10"/>
    <x v="1"/>
    <x v="7"/>
    <x v="3"/>
    <n v="2"/>
    <n v="6.95"/>
    <n v="13.9"/>
    <x v="1"/>
    <n v="23"/>
    <x v="19"/>
    <x v="0"/>
    <n v="13.9"/>
    <b v="1"/>
  </r>
  <r>
    <s v="ORD-01249"/>
    <x v="3"/>
    <s v="19:45"/>
    <x v="1"/>
    <x v="9"/>
    <x v="1"/>
    <n v="2"/>
    <n v="3.75"/>
    <n v="7.5"/>
    <x v="3"/>
    <n v="12"/>
    <x v="6"/>
    <x v="0"/>
    <n v="7.5"/>
    <b v="1"/>
  </r>
  <r>
    <s v="ORD-01250"/>
    <x v="177"/>
    <s v="22:30"/>
    <x v="1"/>
    <x v="19"/>
    <x v="2"/>
    <n v="2"/>
    <n v="7.95"/>
    <n v="15.9"/>
    <x v="0"/>
    <n v="5"/>
    <x v="6"/>
    <x v="0"/>
    <n v="15.9"/>
    <b v="1"/>
  </r>
  <r>
    <s v="ORD-01251"/>
    <x v="266"/>
    <s v="11:45"/>
    <x v="0"/>
    <x v="18"/>
    <x v="1"/>
    <n v="1"/>
    <n v="6.5"/>
    <n v="6.5"/>
    <x v="0"/>
    <n v="6"/>
    <x v="30"/>
    <x v="0"/>
    <n v="6.5"/>
    <b v="1"/>
  </r>
  <r>
    <s v="ORD-01252"/>
    <x v="146"/>
    <s v="17:15"/>
    <x v="1"/>
    <x v="19"/>
    <x v="2"/>
    <n v="1"/>
    <n v="7.95"/>
    <n v="7.95"/>
    <x v="0"/>
    <n v="19"/>
    <x v="13"/>
    <x v="0"/>
    <n v="7.95"/>
    <b v="1"/>
  </r>
  <r>
    <s v="ORD-01253"/>
    <x v="69"/>
    <s v="20:20"/>
    <x v="1"/>
    <x v="14"/>
    <x v="2"/>
    <n v="1"/>
    <n v="6.25"/>
    <n v="0"/>
    <x v="3"/>
    <n v="27"/>
    <x v="13"/>
    <x v="2"/>
    <n v="6.25"/>
    <b v="1"/>
  </r>
  <r>
    <s v="ORD-01254"/>
    <x v="259"/>
    <s v="19:45"/>
    <x v="1"/>
    <x v="9"/>
    <x v="1"/>
    <n v="1"/>
    <n v="3.75"/>
    <n v="3.75"/>
    <x v="1"/>
    <n v="10"/>
    <x v="10"/>
    <x v="0"/>
    <n v="3.75"/>
    <b v="1"/>
  </r>
  <r>
    <s v="ORD-01255"/>
    <x v="270"/>
    <s v="14:15"/>
    <x v="0"/>
    <x v="17"/>
    <x v="0"/>
    <n v="1"/>
    <n v="15.95"/>
    <n v="15.95"/>
    <x v="1"/>
    <n v="30"/>
    <x v="23"/>
    <x v="0"/>
    <n v="15.95"/>
    <b v="1"/>
  </r>
  <r>
    <s v="ORD-01256"/>
    <x v="20"/>
    <s v="12:40"/>
    <x v="0"/>
    <x v="1"/>
    <x v="1"/>
    <n v="2"/>
    <n v="3.1"/>
    <n v="6.2"/>
    <x v="3"/>
    <n v="20"/>
    <x v="24"/>
    <x v="0"/>
    <n v="6.2"/>
    <b v="1"/>
  </r>
  <r>
    <s v="ORD-01257"/>
    <x v="115"/>
    <s v="11:25"/>
    <x v="0"/>
    <x v="11"/>
    <x v="0"/>
    <n v="1"/>
    <n v="12.5"/>
    <n v="12.5"/>
    <x v="2"/>
    <n v="5"/>
    <x v="0"/>
    <x v="0"/>
    <n v="12.5"/>
    <b v="1"/>
  </r>
  <r>
    <s v="ORD-01258"/>
    <x v="97"/>
    <s v="22:55"/>
    <x v="1"/>
    <x v="10"/>
    <x v="0"/>
    <n v="1"/>
    <n v="11.95"/>
    <n v="11.95"/>
    <x v="1"/>
    <n v="16"/>
    <x v="6"/>
    <x v="0"/>
    <n v="11.95"/>
    <b v="1"/>
  </r>
  <r>
    <s v="ORD-01259"/>
    <x v="96"/>
    <s v="22:50"/>
    <x v="1"/>
    <x v="10"/>
    <x v="0"/>
    <n v="3"/>
    <n v="11.95"/>
    <n v="35.85"/>
    <x v="1"/>
    <n v="3"/>
    <x v="19"/>
    <x v="0"/>
    <n v="35.849999999999994"/>
    <b v="1"/>
  </r>
  <r>
    <s v="ORD-01260"/>
    <x v="130"/>
    <s v="14:50"/>
    <x v="0"/>
    <x v="1"/>
    <x v="1"/>
    <n v="2"/>
    <n v="3.1"/>
    <n v="6.2"/>
    <x v="0"/>
    <n v="23"/>
    <x v="3"/>
    <x v="0"/>
    <n v="6.2"/>
    <b v="1"/>
  </r>
  <r>
    <s v="ORD-01261"/>
    <x v="40"/>
    <s v="22:40"/>
    <x v="1"/>
    <x v="14"/>
    <x v="2"/>
    <n v="1"/>
    <n v="6.25"/>
    <n v="6.25"/>
    <x v="3"/>
    <n v="2"/>
    <x v="14"/>
    <x v="0"/>
    <n v="6.25"/>
    <b v="1"/>
  </r>
  <r>
    <s v="ORD-01262"/>
    <x v="36"/>
    <s v="15:30"/>
    <x v="0"/>
    <x v="0"/>
    <x v="0"/>
    <n v="2"/>
    <n v="9.9499999999999993"/>
    <n v="19.899999999999999"/>
    <x v="1"/>
    <n v="16"/>
    <x v="11"/>
    <x v="0"/>
    <n v="19.899999999999999"/>
    <b v="1"/>
  </r>
  <r>
    <s v="ORD-01263"/>
    <x v="205"/>
    <s v="19:10"/>
    <x v="1"/>
    <x v="11"/>
    <x v="0"/>
    <n v="2"/>
    <n v="12.5"/>
    <n v="25"/>
    <x v="1"/>
    <n v="24"/>
    <x v="28"/>
    <x v="0"/>
    <n v="25"/>
    <b v="1"/>
  </r>
  <r>
    <s v="ORD-01264"/>
    <x v="13"/>
    <s v="15:45"/>
    <x v="0"/>
    <x v="11"/>
    <x v="0"/>
    <n v="2"/>
    <n v="12.5"/>
    <n v="25"/>
    <x v="0"/>
    <n v="14"/>
    <x v="9"/>
    <x v="0"/>
    <n v="25"/>
    <b v="1"/>
  </r>
  <r>
    <s v="ORD-01265"/>
    <x v="57"/>
    <s v="18:50"/>
    <x v="1"/>
    <x v="3"/>
    <x v="2"/>
    <n v="1"/>
    <n v="8.5"/>
    <n v="8.5"/>
    <x v="1"/>
    <n v="27"/>
    <x v="28"/>
    <x v="0"/>
    <n v="8.5"/>
    <b v="1"/>
  </r>
  <r>
    <s v="ORD-01266"/>
    <x v="215"/>
    <s v="20:50"/>
    <x v="1"/>
    <x v="7"/>
    <x v="3"/>
    <n v="2"/>
    <n v="6.95"/>
    <n v="13.9"/>
    <x v="1"/>
    <n v="16"/>
    <x v="10"/>
    <x v="0"/>
    <n v="13.9"/>
    <b v="1"/>
  </r>
  <r>
    <s v="ORD-01267"/>
    <x v="201"/>
    <s v="13:30"/>
    <x v="0"/>
    <x v="15"/>
    <x v="3"/>
    <n v="1"/>
    <n v="5.75"/>
    <n v="5.75"/>
    <x v="0"/>
    <n v="11"/>
    <x v="9"/>
    <x v="0"/>
    <n v="5.75"/>
    <b v="1"/>
  </r>
  <r>
    <s v="ORD-01268"/>
    <x v="198"/>
    <s v="22:10"/>
    <x v="1"/>
    <x v="16"/>
    <x v="1"/>
    <n v="2"/>
    <n v="3.25"/>
    <n v="6.5"/>
    <x v="0"/>
    <n v="20"/>
    <x v="2"/>
    <x v="0"/>
    <n v="6.5"/>
    <b v="1"/>
  </r>
  <r>
    <s v="ORD-01269"/>
    <x v="47"/>
    <s v="13:40"/>
    <x v="0"/>
    <x v="11"/>
    <x v="0"/>
    <n v="3"/>
    <n v="12.5"/>
    <n v="37.5"/>
    <x v="0"/>
    <n v="9"/>
    <x v="27"/>
    <x v="0"/>
    <n v="37.5"/>
    <b v="1"/>
  </r>
  <r>
    <s v="ORD-01270"/>
    <x v="39"/>
    <s v="20:30"/>
    <x v="1"/>
    <x v="7"/>
    <x v="3"/>
    <n v="1"/>
    <n v="6.95"/>
    <n v="6.95"/>
    <x v="0"/>
    <n v="9"/>
    <x v="21"/>
    <x v="0"/>
    <n v="6.95"/>
    <b v="1"/>
  </r>
  <r>
    <s v="ORD-01271"/>
    <x v="201"/>
    <s v="11:20"/>
    <x v="0"/>
    <x v="15"/>
    <x v="3"/>
    <n v="1"/>
    <n v="5.75"/>
    <n v="5.75"/>
    <x v="0"/>
    <n v="25"/>
    <x v="13"/>
    <x v="0"/>
    <n v="5.75"/>
    <b v="1"/>
  </r>
  <r>
    <s v="ORD-01272"/>
    <x v="118"/>
    <s v="15:00"/>
    <x v="0"/>
    <x v="2"/>
    <x v="0"/>
    <n v="2"/>
    <n v="11.5"/>
    <n v="23"/>
    <x v="0"/>
    <n v="25"/>
    <x v="0"/>
    <x v="0"/>
    <n v="23"/>
    <b v="1"/>
  </r>
  <r>
    <s v="ORD-01273"/>
    <x v="129"/>
    <s v="21:05"/>
    <x v="1"/>
    <x v="13"/>
    <x v="0"/>
    <n v="1"/>
    <n v="13.5"/>
    <n v="13.5"/>
    <x v="0"/>
    <n v="27"/>
    <x v="11"/>
    <x v="0"/>
    <n v="13.5"/>
    <b v="1"/>
  </r>
  <r>
    <s v="ORD-01274"/>
    <x v="79"/>
    <s v="12:25"/>
    <x v="0"/>
    <x v="14"/>
    <x v="2"/>
    <n v="1"/>
    <n v="6.25"/>
    <n v="6.25"/>
    <x v="1"/>
    <n v="24"/>
    <x v="9"/>
    <x v="0"/>
    <n v="6.25"/>
    <b v="1"/>
  </r>
  <r>
    <s v="ORD-01275"/>
    <x v="192"/>
    <s v="11:40"/>
    <x v="0"/>
    <x v="10"/>
    <x v="0"/>
    <n v="1"/>
    <n v="11.95"/>
    <n v="11.95"/>
    <x v="1"/>
    <n v="1"/>
    <x v="17"/>
    <x v="0"/>
    <n v="11.95"/>
    <b v="1"/>
  </r>
  <r>
    <s v="ORD-01276"/>
    <x v="51"/>
    <s v="11:30"/>
    <x v="0"/>
    <x v="7"/>
    <x v="3"/>
    <n v="1"/>
    <n v="6.95"/>
    <n v="0"/>
    <x v="1"/>
    <n v="29"/>
    <x v="8"/>
    <x v="2"/>
    <n v="6.95"/>
    <b v="1"/>
  </r>
  <r>
    <s v="ORD-01277"/>
    <x v="113"/>
    <s v="15:55"/>
    <x v="0"/>
    <x v="12"/>
    <x v="3"/>
    <n v="1"/>
    <n v="7.25"/>
    <n v="0"/>
    <x v="1"/>
    <n v="5"/>
    <x v="19"/>
    <x v="2"/>
    <n v="7.25"/>
    <b v="1"/>
  </r>
  <r>
    <s v="ORD-01278"/>
    <x v="191"/>
    <s v="15:20"/>
    <x v="0"/>
    <x v="14"/>
    <x v="2"/>
    <n v="1"/>
    <n v="6.25"/>
    <n v="0"/>
    <x v="1"/>
    <n v="1"/>
    <x v="24"/>
    <x v="2"/>
    <n v="6.25"/>
    <b v="1"/>
  </r>
  <r>
    <s v="ORD-01279"/>
    <x v="128"/>
    <s v="13:50"/>
    <x v="0"/>
    <x v="18"/>
    <x v="1"/>
    <n v="1"/>
    <n v="6.5"/>
    <n v="6.5"/>
    <x v="0"/>
    <n v="14"/>
    <x v="11"/>
    <x v="0"/>
    <n v="6.5"/>
    <b v="1"/>
  </r>
  <r>
    <s v="ORD-01280"/>
    <x v="169"/>
    <s v="15:40"/>
    <x v="0"/>
    <x v="0"/>
    <x v="0"/>
    <n v="1"/>
    <n v="9.9499999999999993"/>
    <n v="9.9499999999999993"/>
    <x v="0"/>
    <n v="24"/>
    <x v="8"/>
    <x v="0"/>
    <n v="9.9499999999999993"/>
    <b v="1"/>
  </r>
  <r>
    <s v="ORD-01281"/>
    <x v="100"/>
    <s v="22:05"/>
    <x v="1"/>
    <x v="15"/>
    <x v="3"/>
    <n v="1"/>
    <n v="5.75"/>
    <n v="5.75"/>
    <x v="0"/>
    <n v="12"/>
    <x v="10"/>
    <x v="0"/>
    <n v="5.75"/>
    <b v="1"/>
  </r>
  <r>
    <s v="ORD-01282"/>
    <x v="181"/>
    <s v="19:10"/>
    <x v="1"/>
    <x v="5"/>
    <x v="0"/>
    <n v="1"/>
    <n v="12.95"/>
    <n v="12.95"/>
    <x v="3"/>
    <n v="7"/>
    <x v="6"/>
    <x v="0"/>
    <n v="12.95"/>
    <b v="1"/>
  </r>
  <r>
    <s v="ORD-01283"/>
    <x v="87"/>
    <s v="17:10"/>
    <x v="1"/>
    <x v="7"/>
    <x v="3"/>
    <n v="2"/>
    <n v="6.95"/>
    <n v="13.9"/>
    <x v="1"/>
    <n v="25"/>
    <x v="24"/>
    <x v="0"/>
    <n v="13.9"/>
    <b v="1"/>
  </r>
  <r>
    <s v="ORD-01284"/>
    <x v="78"/>
    <s v="13:55"/>
    <x v="0"/>
    <x v="14"/>
    <x v="2"/>
    <n v="2"/>
    <n v="6.25"/>
    <n v="12.5"/>
    <x v="0"/>
    <n v="11"/>
    <x v="2"/>
    <x v="0"/>
    <n v="12.5"/>
    <b v="1"/>
  </r>
  <r>
    <s v="ORD-01285"/>
    <x v="38"/>
    <s v="19:55"/>
    <x v="1"/>
    <x v="11"/>
    <x v="0"/>
    <n v="2"/>
    <n v="12.5"/>
    <n v="25"/>
    <x v="1"/>
    <n v="21"/>
    <x v="7"/>
    <x v="0"/>
    <n v="25"/>
    <b v="1"/>
  </r>
  <r>
    <s v="ORD-01286"/>
    <x v="85"/>
    <s v="21:40"/>
    <x v="1"/>
    <x v="5"/>
    <x v="0"/>
    <n v="3"/>
    <n v="12.95"/>
    <n v="38.85"/>
    <x v="1"/>
    <n v="23"/>
    <x v="20"/>
    <x v="0"/>
    <n v="38.849999999999994"/>
    <b v="1"/>
  </r>
  <r>
    <s v="ORD-01287"/>
    <x v="44"/>
    <s v="18:40"/>
    <x v="1"/>
    <x v="10"/>
    <x v="0"/>
    <n v="1"/>
    <n v="11.95"/>
    <n v="11.95"/>
    <x v="0"/>
    <n v="29"/>
    <x v="6"/>
    <x v="0"/>
    <n v="11.95"/>
    <b v="1"/>
  </r>
  <r>
    <s v="ORD-01288"/>
    <x v="93"/>
    <s v="21:35"/>
    <x v="1"/>
    <x v="8"/>
    <x v="0"/>
    <n v="2"/>
    <n v="14.5"/>
    <n v="29"/>
    <x v="0"/>
    <n v="14"/>
    <x v="8"/>
    <x v="0"/>
    <n v="29"/>
    <b v="1"/>
  </r>
  <r>
    <s v="ORD-01289"/>
    <x v="97"/>
    <s v="13:55"/>
    <x v="0"/>
    <x v="6"/>
    <x v="2"/>
    <n v="1"/>
    <n v="5.5"/>
    <n v="5.5"/>
    <x v="1"/>
    <n v="6"/>
    <x v="13"/>
    <x v="0"/>
    <n v="5.5"/>
    <b v="1"/>
  </r>
  <r>
    <s v="ORD-01290"/>
    <x v="29"/>
    <s v="21:55"/>
    <x v="1"/>
    <x v="3"/>
    <x v="2"/>
    <n v="1"/>
    <n v="8.5"/>
    <n v="8.5"/>
    <x v="0"/>
    <n v="16"/>
    <x v="7"/>
    <x v="0"/>
    <n v="8.5"/>
    <b v="1"/>
  </r>
  <r>
    <s v="ORD-01291"/>
    <x v="153"/>
    <s v="22:10"/>
    <x v="1"/>
    <x v="17"/>
    <x v="0"/>
    <n v="1"/>
    <n v="15.95"/>
    <n v="15.95"/>
    <x v="0"/>
    <n v="5"/>
    <x v="23"/>
    <x v="0"/>
    <n v="15.95"/>
    <b v="1"/>
  </r>
  <r>
    <s v="ORD-01292"/>
    <x v="210"/>
    <s v="12:15"/>
    <x v="0"/>
    <x v="10"/>
    <x v="0"/>
    <n v="1"/>
    <n v="11.95"/>
    <n v="11.95"/>
    <x v="1"/>
    <n v="4"/>
    <x v="10"/>
    <x v="0"/>
    <n v="11.95"/>
    <b v="1"/>
  </r>
  <r>
    <s v="ORD-01293"/>
    <x v="263"/>
    <s v="17:25"/>
    <x v="1"/>
    <x v="4"/>
    <x v="1"/>
    <n v="3"/>
    <n v="2.8"/>
    <n v="8.4"/>
    <x v="1"/>
    <n v="9"/>
    <x v="30"/>
    <x v="0"/>
    <n v="8.3999999999999986"/>
    <b v="1"/>
  </r>
  <r>
    <s v="ORD-01294"/>
    <x v="182"/>
    <s v="19:25"/>
    <x v="1"/>
    <x v="9"/>
    <x v="1"/>
    <n v="2"/>
    <n v="3.75"/>
    <n v="7.5"/>
    <x v="0"/>
    <n v="18"/>
    <x v="30"/>
    <x v="0"/>
    <n v="7.5"/>
    <b v="1"/>
  </r>
  <r>
    <s v="ORD-01295"/>
    <x v="251"/>
    <s v="12:05"/>
    <x v="0"/>
    <x v="11"/>
    <x v="0"/>
    <n v="1"/>
    <n v="12.5"/>
    <n v="12.5"/>
    <x v="0"/>
    <n v="17"/>
    <x v="14"/>
    <x v="0"/>
    <n v="12.5"/>
    <b v="1"/>
  </r>
  <r>
    <s v="ORD-01296"/>
    <x v="208"/>
    <s v="15:45"/>
    <x v="0"/>
    <x v="6"/>
    <x v="2"/>
    <n v="3"/>
    <n v="5.5"/>
    <n v="0"/>
    <x v="0"/>
    <n v="28"/>
    <x v="2"/>
    <x v="2"/>
    <n v="16.5"/>
    <b v="1"/>
  </r>
  <r>
    <s v="ORD-01297"/>
    <x v="46"/>
    <s v="11:15"/>
    <x v="0"/>
    <x v="11"/>
    <x v="0"/>
    <n v="1"/>
    <n v="12.5"/>
    <n v="12.5"/>
    <x v="1"/>
    <n v="28"/>
    <x v="20"/>
    <x v="0"/>
    <n v="12.5"/>
    <b v="1"/>
  </r>
  <r>
    <s v="ORD-01298"/>
    <x v="220"/>
    <s v="17:10"/>
    <x v="1"/>
    <x v="1"/>
    <x v="1"/>
    <n v="2"/>
    <n v="3.1"/>
    <n v="6.2"/>
    <x v="0"/>
    <n v="22"/>
    <x v="7"/>
    <x v="0"/>
    <n v="6.2"/>
    <b v="1"/>
  </r>
  <r>
    <s v="ORD-01299"/>
    <x v="32"/>
    <s v="17:15"/>
    <x v="1"/>
    <x v="4"/>
    <x v="1"/>
    <n v="1"/>
    <n v="2.8"/>
    <n v="-2.8"/>
    <x v="2"/>
    <n v="10"/>
    <x v="4"/>
    <x v="1"/>
    <n v="2.8"/>
    <b v="1"/>
  </r>
  <r>
    <s v="ORD-01300"/>
    <x v="246"/>
    <s v="21:15"/>
    <x v="1"/>
    <x v="17"/>
    <x v="0"/>
    <n v="3"/>
    <n v="15.95"/>
    <n v="47.85"/>
    <x v="1"/>
    <n v="23"/>
    <x v="18"/>
    <x v="0"/>
    <n v="47.849999999999994"/>
    <b v="1"/>
  </r>
  <r>
    <s v="ORD-01301"/>
    <x v="42"/>
    <s v="20:55"/>
    <x v="1"/>
    <x v="6"/>
    <x v="2"/>
    <n v="2"/>
    <n v="5.5"/>
    <n v="11"/>
    <x v="1"/>
    <n v="6"/>
    <x v="12"/>
    <x v="0"/>
    <n v="11"/>
    <b v="1"/>
  </r>
  <r>
    <s v="ORD-01302"/>
    <x v="99"/>
    <s v="22:25"/>
    <x v="1"/>
    <x v="12"/>
    <x v="3"/>
    <n v="1"/>
    <n v="7.25"/>
    <n v="7.25"/>
    <x v="3"/>
    <n v="29"/>
    <x v="2"/>
    <x v="0"/>
    <n v="7.25"/>
    <b v="1"/>
  </r>
  <r>
    <s v="ORD-01303"/>
    <x v="21"/>
    <s v="18:55"/>
    <x v="1"/>
    <x v="2"/>
    <x v="0"/>
    <n v="1"/>
    <n v="11.5"/>
    <n v="11.5"/>
    <x v="1"/>
    <n v="10"/>
    <x v="19"/>
    <x v="0"/>
    <n v="11.5"/>
    <b v="1"/>
  </r>
  <r>
    <s v="ORD-01304"/>
    <x v="138"/>
    <s v="21:00"/>
    <x v="1"/>
    <x v="9"/>
    <x v="1"/>
    <n v="1"/>
    <n v="3.75"/>
    <n v="3.75"/>
    <x v="0"/>
    <n v="9"/>
    <x v="9"/>
    <x v="0"/>
    <n v="3.75"/>
    <b v="1"/>
  </r>
  <r>
    <s v="ORD-01305"/>
    <x v="209"/>
    <s v="13:20"/>
    <x v="0"/>
    <x v="13"/>
    <x v="0"/>
    <n v="4"/>
    <n v="13.5"/>
    <n v="54"/>
    <x v="0"/>
    <n v="20"/>
    <x v="18"/>
    <x v="0"/>
    <n v="54"/>
    <b v="1"/>
  </r>
  <r>
    <s v="ORD-01306"/>
    <x v="136"/>
    <s v="15:05"/>
    <x v="0"/>
    <x v="13"/>
    <x v="0"/>
    <n v="1"/>
    <n v="13.5"/>
    <n v="13.5"/>
    <x v="0"/>
    <n v="29"/>
    <x v="11"/>
    <x v="0"/>
    <n v="13.5"/>
    <b v="1"/>
  </r>
  <r>
    <s v="ORD-01307"/>
    <x v="241"/>
    <s v="18:05"/>
    <x v="1"/>
    <x v="12"/>
    <x v="3"/>
    <n v="2"/>
    <n v="7.25"/>
    <n v="14.5"/>
    <x v="1"/>
    <n v="2"/>
    <x v="15"/>
    <x v="0"/>
    <n v="14.5"/>
    <b v="1"/>
  </r>
  <r>
    <s v="ORD-01308"/>
    <x v="20"/>
    <s v="18:50"/>
    <x v="1"/>
    <x v="9"/>
    <x v="1"/>
    <n v="2"/>
    <n v="3.75"/>
    <n v="7.5"/>
    <x v="0"/>
    <n v="27"/>
    <x v="7"/>
    <x v="0"/>
    <n v="7.5"/>
    <b v="1"/>
  </r>
  <r>
    <s v="ORD-01309"/>
    <x v="246"/>
    <s v="18:45"/>
    <x v="1"/>
    <x v="3"/>
    <x v="2"/>
    <n v="1"/>
    <n v="8.5"/>
    <n v="8.5"/>
    <x v="1"/>
    <n v="22"/>
    <x v="0"/>
    <x v="0"/>
    <n v="8.5"/>
    <b v="1"/>
  </r>
  <r>
    <s v="ORD-01310"/>
    <x v="262"/>
    <s v="21:10"/>
    <x v="1"/>
    <x v="6"/>
    <x v="2"/>
    <n v="1"/>
    <n v="5.5"/>
    <n v="5.5"/>
    <x v="1"/>
    <n v="2"/>
    <x v="23"/>
    <x v="0"/>
    <n v="5.5"/>
    <b v="1"/>
  </r>
  <r>
    <s v="ORD-01311"/>
    <x v="60"/>
    <s v="20:10"/>
    <x v="1"/>
    <x v="2"/>
    <x v="0"/>
    <n v="1"/>
    <n v="11.5"/>
    <n v="11.5"/>
    <x v="2"/>
    <n v="19"/>
    <x v="10"/>
    <x v="0"/>
    <n v="11.5"/>
    <b v="1"/>
  </r>
  <r>
    <s v="ORD-01312"/>
    <x v="64"/>
    <s v="20:05"/>
    <x v="1"/>
    <x v="10"/>
    <x v="0"/>
    <n v="3"/>
    <n v="11.95"/>
    <n v="35.85"/>
    <x v="1"/>
    <n v="24"/>
    <x v="18"/>
    <x v="0"/>
    <n v="35.849999999999994"/>
    <b v="1"/>
  </r>
  <r>
    <s v="ORD-01313"/>
    <x v="246"/>
    <s v="17:10"/>
    <x v="1"/>
    <x v="2"/>
    <x v="0"/>
    <n v="1"/>
    <n v="11.5"/>
    <n v="11.5"/>
    <x v="1"/>
    <n v="8"/>
    <x v="24"/>
    <x v="0"/>
    <n v="11.5"/>
    <b v="1"/>
  </r>
  <r>
    <s v="ORD-01314"/>
    <x v="21"/>
    <s v="22:10"/>
    <x v="1"/>
    <x v="19"/>
    <x v="2"/>
    <n v="1"/>
    <n v="7.95"/>
    <n v="7.95"/>
    <x v="1"/>
    <n v="10"/>
    <x v="21"/>
    <x v="0"/>
    <n v="7.95"/>
    <b v="1"/>
  </r>
  <r>
    <s v="ORD-01315"/>
    <x v="127"/>
    <s v="20:15"/>
    <x v="1"/>
    <x v="11"/>
    <x v="0"/>
    <n v="1"/>
    <n v="12.5"/>
    <n v="12.5"/>
    <x v="0"/>
    <n v="23"/>
    <x v="6"/>
    <x v="0"/>
    <n v="12.5"/>
    <b v="1"/>
  </r>
  <r>
    <s v="ORD-01316"/>
    <x v="24"/>
    <s v="21:25"/>
    <x v="1"/>
    <x v="3"/>
    <x v="2"/>
    <n v="2"/>
    <n v="8.5"/>
    <n v="17"/>
    <x v="2"/>
    <n v="15"/>
    <x v="18"/>
    <x v="0"/>
    <n v="17"/>
    <b v="1"/>
  </r>
  <r>
    <s v="ORD-01317"/>
    <x v="93"/>
    <s v="15:30"/>
    <x v="0"/>
    <x v="8"/>
    <x v="0"/>
    <n v="1"/>
    <n v="14.5"/>
    <n v="14.5"/>
    <x v="2"/>
    <n v="21"/>
    <x v="6"/>
    <x v="0"/>
    <n v="14.5"/>
    <b v="1"/>
  </r>
  <r>
    <s v="ORD-01318"/>
    <x v="270"/>
    <s v="15:40"/>
    <x v="0"/>
    <x v="6"/>
    <x v="2"/>
    <n v="1"/>
    <n v="5.5"/>
    <n v="-5.5"/>
    <x v="1"/>
    <n v="7"/>
    <x v="7"/>
    <x v="1"/>
    <n v="5.5"/>
    <b v="1"/>
  </r>
  <r>
    <s v="ORD-01319"/>
    <x v="263"/>
    <s v="11:40"/>
    <x v="0"/>
    <x v="17"/>
    <x v="0"/>
    <n v="1"/>
    <n v="15.95"/>
    <n v="15.95"/>
    <x v="0"/>
    <n v="13"/>
    <x v="5"/>
    <x v="0"/>
    <n v="15.95"/>
    <b v="1"/>
  </r>
  <r>
    <s v="ORD-01320"/>
    <x v="206"/>
    <s v="11:50"/>
    <x v="0"/>
    <x v="3"/>
    <x v="2"/>
    <n v="2"/>
    <n v="8.5"/>
    <n v="17"/>
    <x v="0"/>
    <n v="6"/>
    <x v="9"/>
    <x v="0"/>
    <n v="17"/>
    <b v="1"/>
  </r>
  <r>
    <s v="ORD-01321"/>
    <x v="152"/>
    <s v="11:10"/>
    <x v="0"/>
    <x v="3"/>
    <x v="2"/>
    <n v="1"/>
    <n v="8.5"/>
    <n v="8.5"/>
    <x v="2"/>
    <n v="15"/>
    <x v="16"/>
    <x v="0"/>
    <n v="8.5"/>
    <b v="1"/>
  </r>
  <r>
    <s v="ORD-01322"/>
    <x v="195"/>
    <s v="22:30"/>
    <x v="1"/>
    <x v="7"/>
    <x v="3"/>
    <n v="1"/>
    <n v="6.95"/>
    <n v="6.95"/>
    <x v="0"/>
    <n v="9"/>
    <x v="8"/>
    <x v="0"/>
    <n v="6.95"/>
    <b v="1"/>
  </r>
  <r>
    <s v="ORD-01323"/>
    <x v="3"/>
    <s v="20:20"/>
    <x v="1"/>
    <x v="13"/>
    <x v="0"/>
    <n v="4"/>
    <n v="13.5"/>
    <n v="54"/>
    <x v="1"/>
    <n v="17"/>
    <x v="13"/>
    <x v="0"/>
    <n v="54"/>
    <b v="1"/>
  </r>
  <r>
    <s v="ORD-01324"/>
    <x v="182"/>
    <s v="21:30"/>
    <x v="1"/>
    <x v="18"/>
    <x v="1"/>
    <n v="1"/>
    <n v="6.5"/>
    <n v="6.5"/>
    <x v="3"/>
    <n v="6"/>
    <x v="1"/>
    <x v="0"/>
    <n v="6.5"/>
    <b v="1"/>
  </r>
  <r>
    <s v="ORD-01325"/>
    <x v="69"/>
    <s v="15:10"/>
    <x v="0"/>
    <x v="8"/>
    <x v="0"/>
    <n v="2"/>
    <n v="14.5"/>
    <n v="29"/>
    <x v="1"/>
    <n v="25"/>
    <x v="13"/>
    <x v="0"/>
    <n v="29"/>
    <b v="1"/>
  </r>
  <r>
    <s v="ORD-01326"/>
    <x v="198"/>
    <s v="18:35"/>
    <x v="1"/>
    <x v="2"/>
    <x v="0"/>
    <n v="2"/>
    <n v="11.5"/>
    <n v="23"/>
    <x v="1"/>
    <n v="29"/>
    <x v="19"/>
    <x v="0"/>
    <n v="23"/>
    <b v="1"/>
  </r>
  <r>
    <s v="ORD-01327"/>
    <x v="77"/>
    <s v="12:15"/>
    <x v="0"/>
    <x v="12"/>
    <x v="3"/>
    <n v="1"/>
    <n v="7.25"/>
    <n v="7.25"/>
    <x v="0"/>
    <n v="25"/>
    <x v="17"/>
    <x v="0"/>
    <n v="7.25"/>
    <b v="1"/>
  </r>
  <r>
    <s v="ORD-01328"/>
    <x v="147"/>
    <s v="11:35"/>
    <x v="0"/>
    <x v="4"/>
    <x v="1"/>
    <n v="2"/>
    <n v="2.8"/>
    <n v="5.6"/>
    <x v="3"/>
    <n v="7"/>
    <x v="7"/>
    <x v="0"/>
    <n v="5.6"/>
    <b v="1"/>
  </r>
  <r>
    <s v="ORD-01329"/>
    <x v="252"/>
    <s v="22:15"/>
    <x v="1"/>
    <x v="10"/>
    <x v="0"/>
    <n v="1"/>
    <n v="11.95"/>
    <n v="11.95"/>
    <x v="1"/>
    <n v="25"/>
    <x v="17"/>
    <x v="0"/>
    <n v="11.95"/>
    <b v="1"/>
  </r>
  <r>
    <s v="ORD-01330"/>
    <x v="124"/>
    <s v="22:30"/>
    <x v="1"/>
    <x v="9"/>
    <x v="1"/>
    <n v="1"/>
    <n v="3.75"/>
    <n v="3.75"/>
    <x v="0"/>
    <n v="12"/>
    <x v="22"/>
    <x v="0"/>
    <n v="3.75"/>
    <b v="1"/>
  </r>
  <r>
    <s v="ORD-01331"/>
    <x v="56"/>
    <s v="15:10"/>
    <x v="0"/>
    <x v="0"/>
    <x v="0"/>
    <n v="1"/>
    <n v="9.9499999999999993"/>
    <n v="9.9499999999999993"/>
    <x v="2"/>
    <n v="20"/>
    <x v="7"/>
    <x v="0"/>
    <n v="9.9499999999999993"/>
    <b v="1"/>
  </r>
  <r>
    <s v="ORD-01332"/>
    <x v="220"/>
    <s v="18:35"/>
    <x v="1"/>
    <x v="11"/>
    <x v="0"/>
    <n v="1"/>
    <n v="12.5"/>
    <n v="12.5"/>
    <x v="1"/>
    <n v="14"/>
    <x v="19"/>
    <x v="0"/>
    <n v="12.5"/>
    <b v="1"/>
  </r>
  <r>
    <s v="ORD-01333"/>
    <x v="208"/>
    <s v="20:10"/>
    <x v="1"/>
    <x v="19"/>
    <x v="2"/>
    <n v="1"/>
    <n v="7.95"/>
    <n v="7.95"/>
    <x v="1"/>
    <n v="14"/>
    <x v="17"/>
    <x v="0"/>
    <n v="7.95"/>
    <b v="1"/>
  </r>
  <r>
    <s v="ORD-01334"/>
    <x v="209"/>
    <s v="17:35"/>
    <x v="1"/>
    <x v="5"/>
    <x v="0"/>
    <n v="1"/>
    <n v="12.95"/>
    <n v="12.95"/>
    <x v="0"/>
    <n v="4"/>
    <x v="20"/>
    <x v="0"/>
    <n v="12.95"/>
    <b v="1"/>
  </r>
  <r>
    <s v="ORD-01335"/>
    <x v="55"/>
    <s v="17:10"/>
    <x v="1"/>
    <x v="14"/>
    <x v="2"/>
    <n v="1"/>
    <n v="6.25"/>
    <n v="6.25"/>
    <x v="0"/>
    <n v="16"/>
    <x v="7"/>
    <x v="0"/>
    <n v="6.25"/>
    <b v="1"/>
  </r>
  <r>
    <s v="ORD-01336"/>
    <x v="81"/>
    <s v="17:20"/>
    <x v="1"/>
    <x v="12"/>
    <x v="3"/>
    <n v="1"/>
    <n v="7.25"/>
    <n v="7.25"/>
    <x v="0"/>
    <n v="4"/>
    <x v="18"/>
    <x v="0"/>
    <n v="7.25"/>
    <b v="1"/>
  </r>
  <r>
    <s v="ORD-01337"/>
    <x v="183"/>
    <s v="20:55"/>
    <x v="1"/>
    <x v="14"/>
    <x v="2"/>
    <n v="2"/>
    <n v="6.25"/>
    <n v="12.5"/>
    <x v="0"/>
    <n v="14"/>
    <x v="6"/>
    <x v="0"/>
    <n v="12.5"/>
    <b v="1"/>
  </r>
  <r>
    <s v="ORD-01338"/>
    <x v="208"/>
    <s v="17:10"/>
    <x v="1"/>
    <x v="2"/>
    <x v="0"/>
    <n v="1"/>
    <n v="11.5"/>
    <n v="11.5"/>
    <x v="1"/>
    <n v="19"/>
    <x v="6"/>
    <x v="0"/>
    <n v="11.5"/>
    <b v="1"/>
  </r>
  <r>
    <s v="ORD-01339"/>
    <x v="217"/>
    <s v="22:35"/>
    <x v="1"/>
    <x v="12"/>
    <x v="3"/>
    <n v="1"/>
    <n v="7.25"/>
    <n v="7.25"/>
    <x v="0"/>
    <n v="15"/>
    <x v="28"/>
    <x v="0"/>
    <n v="7.25"/>
    <b v="1"/>
  </r>
  <r>
    <s v="ORD-01340"/>
    <x v="102"/>
    <s v="13:50"/>
    <x v="0"/>
    <x v="19"/>
    <x v="2"/>
    <n v="2"/>
    <n v="7.95"/>
    <n v="15.9"/>
    <x v="1"/>
    <n v="18"/>
    <x v="20"/>
    <x v="0"/>
    <n v="15.9"/>
    <b v="1"/>
  </r>
  <r>
    <s v="ORD-01341"/>
    <x v="92"/>
    <s v="11:35"/>
    <x v="0"/>
    <x v="14"/>
    <x v="2"/>
    <n v="1"/>
    <n v="6.25"/>
    <n v="6.25"/>
    <x v="0"/>
    <n v="2"/>
    <x v="5"/>
    <x v="0"/>
    <n v="6.25"/>
    <b v="1"/>
  </r>
  <r>
    <s v="ORD-01342"/>
    <x v="95"/>
    <s v="11:40"/>
    <x v="0"/>
    <x v="10"/>
    <x v="0"/>
    <n v="1"/>
    <n v="11.95"/>
    <n v="11.95"/>
    <x v="0"/>
    <n v="21"/>
    <x v="9"/>
    <x v="0"/>
    <n v="11.95"/>
    <b v="1"/>
  </r>
  <r>
    <s v="ORD-01343"/>
    <x v="116"/>
    <s v="14:55"/>
    <x v="0"/>
    <x v="9"/>
    <x v="1"/>
    <n v="1"/>
    <n v="3.75"/>
    <n v="3.75"/>
    <x v="1"/>
    <n v="2"/>
    <x v="9"/>
    <x v="0"/>
    <n v="3.75"/>
    <b v="1"/>
  </r>
  <r>
    <s v="ORD-01344"/>
    <x v="100"/>
    <s v="15:55"/>
    <x v="0"/>
    <x v="10"/>
    <x v="0"/>
    <n v="1"/>
    <n v="11.95"/>
    <n v="11.95"/>
    <x v="1"/>
    <n v="3"/>
    <x v="24"/>
    <x v="0"/>
    <n v="11.95"/>
    <b v="1"/>
  </r>
  <r>
    <s v="ORD-01345"/>
    <x v="32"/>
    <s v="17:10"/>
    <x v="1"/>
    <x v="6"/>
    <x v="2"/>
    <n v="2"/>
    <n v="5.5"/>
    <n v="0"/>
    <x v="3"/>
    <n v="14"/>
    <x v="15"/>
    <x v="2"/>
    <n v="11"/>
    <b v="1"/>
  </r>
  <r>
    <s v="ORD-01346"/>
    <x v="262"/>
    <s v="19:45"/>
    <x v="1"/>
    <x v="1"/>
    <x v="1"/>
    <n v="1"/>
    <n v="3.1"/>
    <n v="3.1"/>
    <x v="2"/>
    <n v="23"/>
    <x v="11"/>
    <x v="0"/>
    <n v="3.1"/>
    <b v="1"/>
  </r>
  <r>
    <s v="ORD-01347"/>
    <x v="185"/>
    <s v="18:30"/>
    <x v="1"/>
    <x v="6"/>
    <x v="2"/>
    <n v="2"/>
    <n v="5.5"/>
    <n v="-11"/>
    <x v="0"/>
    <n v="2"/>
    <x v="6"/>
    <x v="1"/>
    <n v="11"/>
    <b v="1"/>
  </r>
  <r>
    <s v="ORD-01348"/>
    <x v="176"/>
    <s v="19:00"/>
    <x v="1"/>
    <x v="12"/>
    <x v="3"/>
    <n v="1"/>
    <n v="7.25"/>
    <n v="7.25"/>
    <x v="1"/>
    <n v="22"/>
    <x v="23"/>
    <x v="0"/>
    <n v="7.25"/>
    <b v="1"/>
  </r>
  <r>
    <s v="ORD-01349"/>
    <x v="254"/>
    <s v="22:25"/>
    <x v="1"/>
    <x v="10"/>
    <x v="0"/>
    <n v="1"/>
    <n v="11.95"/>
    <n v="11.95"/>
    <x v="1"/>
    <n v="20"/>
    <x v="20"/>
    <x v="0"/>
    <n v="11.95"/>
    <b v="1"/>
  </r>
  <r>
    <s v="ORD-01350"/>
    <x v="4"/>
    <s v="22:45"/>
    <x v="1"/>
    <x v="14"/>
    <x v="2"/>
    <n v="1"/>
    <n v="6.25"/>
    <n v="6.25"/>
    <x v="0"/>
    <n v="30"/>
    <x v="7"/>
    <x v="0"/>
    <n v="6.25"/>
    <b v="1"/>
  </r>
  <r>
    <s v="ORD-01351"/>
    <x v="189"/>
    <s v="13:35"/>
    <x v="0"/>
    <x v="8"/>
    <x v="0"/>
    <n v="1"/>
    <n v="14.5"/>
    <n v="0"/>
    <x v="0"/>
    <n v="6"/>
    <x v="24"/>
    <x v="2"/>
    <n v="14.5"/>
    <b v="1"/>
  </r>
  <r>
    <s v="ORD-01352"/>
    <x v="212"/>
    <s v="22:45"/>
    <x v="1"/>
    <x v="5"/>
    <x v="0"/>
    <n v="2"/>
    <n v="12.95"/>
    <n v="25.9"/>
    <x v="1"/>
    <n v="12"/>
    <x v="17"/>
    <x v="0"/>
    <n v="25.9"/>
    <b v="1"/>
  </r>
  <r>
    <s v="ORD-01353"/>
    <x v="98"/>
    <s v="13:25"/>
    <x v="0"/>
    <x v="15"/>
    <x v="3"/>
    <n v="2"/>
    <n v="5.75"/>
    <n v="11.5"/>
    <x v="0"/>
    <n v="20"/>
    <x v="17"/>
    <x v="0"/>
    <n v="11.5"/>
    <b v="1"/>
  </r>
  <r>
    <s v="ORD-01354"/>
    <x v="45"/>
    <s v="17:20"/>
    <x v="1"/>
    <x v="4"/>
    <x v="1"/>
    <n v="2"/>
    <n v="2.8"/>
    <n v="5.6"/>
    <x v="3"/>
    <n v="13"/>
    <x v="19"/>
    <x v="0"/>
    <n v="5.6"/>
    <b v="1"/>
  </r>
  <r>
    <s v="ORD-01355"/>
    <x v="31"/>
    <s v="11:05"/>
    <x v="0"/>
    <x v="7"/>
    <x v="3"/>
    <n v="1"/>
    <n v="6.95"/>
    <n v="6.95"/>
    <x v="2"/>
    <n v="6"/>
    <x v="9"/>
    <x v="0"/>
    <n v="6.95"/>
    <b v="1"/>
  </r>
  <r>
    <s v="ORD-01356"/>
    <x v="81"/>
    <s v="19:15"/>
    <x v="1"/>
    <x v="12"/>
    <x v="3"/>
    <n v="3"/>
    <n v="7.25"/>
    <n v="21.75"/>
    <x v="2"/>
    <n v="11"/>
    <x v="20"/>
    <x v="0"/>
    <n v="21.75"/>
    <b v="1"/>
  </r>
  <r>
    <s v="ORD-01357"/>
    <x v="14"/>
    <s v="22:50"/>
    <x v="1"/>
    <x v="14"/>
    <x v="2"/>
    <n v="1"/>
    <n v="6.25"/>
    <n v="6.25"/>
    <x v="2"/>
    <n v="16"/>
    <x v="0"/>
    <x v="0"/>
    <n v="6.25"/>
    <b v="1"/>
  </r>
  <r>
    <s v="ORD-01358"/>
    <x v="193"/>
    <s v="20:10"/>
    <x v="1"/>
    <x v="17"/>
    <x v="0"/>
    <n v="1"/>
    <n v="15.95"/>
    <n v="15.95"/>
    <x v="2"/>
    <n v="18"/>
    <x v="12"/>
    <x v="0"/>
    <n v="15.95"/>
    <b v="1"/>
  </r>
  <r>
    <s v="ORD-01359"/>
    <x v="180"/>
    <s v="22:05"/>
    <x v="1"/>
    <x v="7"/>
    <x v="3"/>
    <n v="2"/>
    <n v="6.95"/>
    <n v="13.9"/>
    <x v="1"/>
    <n v="21"/>
    <x v="23"/>
    <x v="0"/>
    <n v="13.9"/>
    <b v="1"/>
  </r>
  <r>
    <s v="ORD-01360"/>
    <x v="216"/>
    <s v="15:40"/>
    <x v="0"/>
    <x v="5"/>
    <x v="0"/>
    <n v="2"/>
    <n v="12.95"/>
    <n v="25.9"/>
    <x v="3"/>
    <n v="14"/>
    <x v="7"/>
    <x v="0"/>
    <n v="25.9"/>
    <b v="1"/>
  </r>
  <r>
    <s v="ORD-01361"/>
    <x v="108"/>
    <s v="18:45"/>
    <x v="1"/>
    <x v="16"/>
    <x v="1"/>
    <n v="2"/>
    <n v="3.25"/>
    <n v="6.5"/>
    <x v="0"/>
    <n v="26"/>
    <x v="13"/>
    <x v="0"/>
    <n v="6.5"/>
    <b v="1"/>
  </r>
  <r>
    <s v="ORD-01362"/>
    <x v="157"/>
    <s v="18:35"/>
    <x v="1"/>
    <x v="3"/>
    <x v="2"/>
    <n v="2"/>
    <n v="8.5"/>
    <n v="17"/>
    <x v="0"/>
    <n v="6"/>
    <x v="13"/>
    <x v="0"/>
    <n v="17"/>
    <b v="1"/>
  </r>
  <r>
    <s v="ORD-01363"/>
    <x v="150"/>
    <s v="13:05"/>
    <x v="0"/>
    <x v="2"/>
    <x v="0"/>
    <n v="1"/>
    <n v="11.5"/>
    <n v="11.5"/>
    <x v="3"/>
    <n v="15"/>
    <x v="4"/>
    <x v="0"/>
    <n v="11.5"/>
    <b v="1"/>
  </r>
  <r>
    <s v="ORD-01364"/>
    <x v="241"/>
    <s v="21:50"/>
    <x v="1"/>
    <x v="10"/>
    <x v="0"/>
    <n v="2"/>
    <n v="11.95"/>
    <n v="23.9"/>
    <x v="3"/>
    <n v="28"/>
    <x v="6"/>
    <x v="0"/>
    <n v="23.9"/>
    <b v="1"/>
  </r>
  <r>
    <s v="ORD-01365"/>
    <x v="117"/>
    <s v="11:00"/>
    <x v="0"/>
    <x v="13"/>
    <x v="0"/>
    <n v="2"/>
    <n v="13.5"/>
    <n v="27"/>
    <x v="0"/>
    <n v="28"/>
    <x v="25"/>
    <x v="0"/>
    <n v="27"/>
    <b v="1"/>
  </r>
  <r>
    <s v="ORD-01366"/>
    <x v="73"/>
    <s v="22:40"/>
    <x v="1"/>
    <x v="10"/>
    <x v="0"/>
    <n v="2"/>
    <n v="11.95"/>
    <n v="23.9"/>
    <x v="3"/>
    <n v="21"/>
    <x v="11"/>
    <x v="0"/>
    <n v="23.9"/>
    <b v="1"/>
  </r>
  <r>
    <s v="ORD-01367"/>
    <x v="265"/>
    <s v="22:00"/>
    <x v="1"/>
    <x v="19"/>
    <x v="2"/>
    <n v="2"/>
    <n v="7.95"/>
    <n v="15.9"/>
    <x v="3"/>
    <n v="23"/>
    <x v="17"/>
    <x v="0"/>
    <n v="15.9"/>
    <b v="1"/>
  </r>
  <r>
    <s v="ORD-01368"/>
    <x v="89"/>
    <s v="17:05"/>
    <x v="1"/>
    <x v="8"/>
    <x v="0"/>
    <n v="2"/>
    <n v="14.5"/>
    <n v="-29"/>
    <x v="0"/>
    <n v="27"/>
    <x v="2"/>
    <x v="1"/>
    <n v="29"/>
    <b v="1"/>
  </r>
  <r>
    <s v="ORD-01369"/>
    <x v="0"/>
    <s v="19:30"/>
    <x v="1"/>
    <x v="14"/>
    <x v="2"/>
    <n v="1"/>
    <n v="6.25"/>
    <n v="6.25"/>
    <x v="1"/>
    <n v="4"/>
    <x v="13"/>
    <x v="0"/>
    <n v="6.25"/>
    <b v="1"/>
  </r>
  <r>
    <s v="ORD-01370"/>
    <x v="48"/>
    <s v="22:35"/>
    <x v="1"/>
    <x v="0"/>
    <x v="0"/>
    <n v="2"/>
    <n v="9.9499999999999993"/>
    <n v="19.899999999999999"/>
    <x v="0"/>
    <n v="10"/>
    <x v="10"/>
    <x v="0"/>
    <n v="19.899999999999999"/>
    <b v="1"/>
  </r>
  <r>
    <s v="ORD-01371"/>
    <x v="153"/>
    <s v="22:20"/>
    <x v="1"/>
    <x v="18"/>
    <x v="1"/>
    <n v="1"/>
    <n v="6.5"/>
    <n v="6.5"/>
    <x v="1"/>
    <n v="10"/>
    <x v="14"/>
    <x v="0"/>
    <n v="6.5"/>
    <b v="1"/>
  </r>
  <r>
    <s v="ORD-01372"/>
    <x v="102"/>
    <s v="22:20"/>
    <x v="1"/>
    <x v="19"/>
    <x v="2"/>
    <n v="3"/>
    <n v="7.95"/>
    <n v="23.85"/>
    <x v="0"/>
    <n v="19"/>
    <x v="10"/>
    <x v="0"/>
    <n v="23.85"/>
    <b v="1"/>
  </r>
  <r>
    <s v="ORD-01373"/>
    <x v="67"/>
    <s v="22:20"/>
    <x v="1"/>
    <x v="8"/>
    <x v="0"/>
    <n v="2"/>
    <n v="14.5"/>
    <n v="29"/>
    <x v="0"/>
    <n v="28"/>
    <x v="27"/>
    <x v="0"/>
    <n v="29"/>
    <b v="1"/>
  </r>
  <r>
    <s v="ORD-01374"/>
    <x v="91"/>
    <s v="12:45"/>
    <x v="0"/>
    <x v="19"/>
    <x v="2"/>
    <n v="1"/>
    <n v="7.95"/>
    <n v="7.95"/>
    <x v="0"/>
    <n v="9"/>
    <x v="13"/>
    <x v="0"/>
    <n v="7.95"/>
    <b v="1"/>
  </r>
  <r>
    <s v="ORD-01375"/>
    <x v="266"/>
    <s v="21:30"/>
    <x v="1"/>
    <x v="16"/>
    <x v="1"/>
    <n v="2"/>
    <n v="3.25"/>
    <n v="6.5"/>
    <x v="3"/>
    <n v="19"/>
    <x v="13"/>
    <x v="0"/>
    <n v="6.5"/>
    <b v="1"/>
  </r>
  <r>
    <s v="ORD-01376"/>
    <x v="41"/>
    <s v="20:35"/>
    <x v="1"/>
    <x v="17"/>
    <x v="0"/>
    <n v="2"/>
    <n v="15.95"/>
    <n v="31.9"/>
    <x v="0"/>
    <n v="6"/>
    <x v="20"/>
    <x v="0"/>
    <n v="31.9"/>
    <b v="1"/>
  </r>
  <r>
    <s v="ORD-01377"/>
    <x v="57"/>
    <s v="11:25"/>
    <x v="0"/>
    <x v="0"/>
    <x v="0"/>
    <n v="1"/>
    <n v="9.9499999999999993"/>
    <n v="9.9499999999999993"/>
    <x v="2"/>
    <n v="24"/>
    <x v="17"/>
    <x v="0"/>
    <n v="9.9499999999999993"/>
    <b v="1"/>
  </r>
  <r>
    <s v="ORD-01378"/>
    <x v="175"/>
    <s v="14:45"/>
    <x v="0"/>
    <x v="2"/>
    <x v="0"/>
    <n v="2"/>
    <n v="11.5"/>
    <n v="23"/>
    <x v="1"/>
    <n v="29"/>
    <x v="6"/>
    <x v="0"/>
    <n v="23"/>
    <b v="1"/>
  </r>
  <r>
    <s v="ORD-01379"/>
    <x v="251"/>
    <s v="11:30"/>
    <x v="0"/>
    <x v="10"/>
    <x v="0"/>
    <n v="3"/>
    <n v="11.95"/>
    <n v="35.85"/>
    <x v="2"/>
    <n v="18"/>
    <x v="6"/>
    <x v="0"/>
    <n v="35.849999999999994"/>
    <b v="1"/>
  </r>
  <r>
    <s v="ORD-01380"/>
    <x v="16"/>
    <s v="17:35"/>
    <x v="1"/>
    <x v="18"/>
    <x v="1"/>
    <n v="1"/>
    <n v="6.5"/>
    <n v="6.5"/>
    <x v="2"/>
    <n v="9"/>
    <x v="10"/>
    <x v="0"/>
    <n v="6.5"/>
    <b v="1"/>
  </r>
  <r>
    <s v="ORD-01381"/>
    <x v="132"/>
    <s v="22:15"/>
    <x v="1"/>
    <x v="0"/>
    <x v="0"/>
    <n v="2"/>
    <n v="9.9499999999999993"/>
    <n v="19.899999999999999"/>
    <x v="0"/>
    <n v="9"/>
    <x v="12"/>
    <x v="0"/>
    <n v="19.899999999999999"/>
    <b v="1"/>
  </r>
  <r>
    <s v="ORD-01382"/>
    <x v="80"/>
    <s v="22:05"/>
    <x v="1"/>
    <x v="8"/>
    <x v="0"/>
    <n v="1"/>
    <n v="14.5"/>
    <n v="14.5"/>
    <x v="1"/>
    <n v="7"/>
    <x v="35"/>
    <x v="0"/>
    <n v="14.5"/>
    <b v="1"/>
  </r>
  <r>
    <s v="ORD-01383"/>
    <x v="147"/>
    <s v="21:00"/>
    <x v="1"/>
    <x v="14"/>
    <x v="2"/>
    <n v="2"/>
    <n v="6.25"/>
    <n v="12.5"/>
    <x v="0"/>
    <n v="3"/>
    <x v="17"/>
    <x v="0"/>
    <n v="12.5"/>
    <b v="1"/>
  </r>
  <r>
    <s v="ORD-01384"/>
    <x v="149"/>
    <s v="18:45"/>
    <x v="1"/>
    <x v="16"/>
    <x v="1"/>
    <n v="1"/>
    <n v="3.25"/>
    <n v="3.25"/>
    <x v="0"/>
    <n v="19"/>
    <x v="7"/>
    <x v="0"/>
    <n v="3.25"/>
    <b v="1"/>
  </r>
  <r>
    <s v="ORD-01385"/>
    <x v="0"/>
    <s v="20:50"/>
    <x v="1"/>
    <x v="11"/>
    <x v="0"/>
    <n v="2"/>
    <n v="12.5"/>
    <n v="25"/>
    <x v="1"/>
    <n v="1"/>
    <x v="7"/>
    <x v="0"/>
    <n v="25"/>
    <b v="1"/>
  </r>
  <r>
    <s v="ORD-01386"/>
    <x v="38"/>
    <s v="20:50"/>
    <x v="1"/>
    <x v="17"/>
    <x v="0"/>
    <n v="1"/>
    <n v="15.95"/>
    <n v="15.95"/>
    <x v="1"/>
    <n v="17"/>
    <x v="7"/>
    <x v="0"/>
    <n v="15.95"/>
    <b v="1"/>
  </r>
  <r>
    <s v="ORD-01387"/>
    <x v="30"/>
    <s v="15:15"/>
    <x v="0"/>
    <x v="14"/>
    <x v="2"/>
    <n v="1"/>
    <n v="6.25"/>
    <n v="6.25"/>
    <x v="3"/>
    <n v="4"/>
    <x v="4"/>
    <x v="0"/>
    <n v="6.25"/>
    <b v="1"/>
  </r>
  <r>
    <s v="ORD-01388"/>
    <x v="132"/>
    <s v="19:40"/>
    <x v="1"/>
    <x v="16"/>
    <x v="1"/>
    <n v="1"/>
    <n v="3.25"/>
    <n v="3.25"/>
    <x v="2"/>
    <n v="3"/>
    <x v="9"/>
    <x v="0"/>
    <n v="3.25"/>
    <b v="1"/>
  </r>
  <r>
    <s v="ORD-01389"/>
    <x v="247"/>
    <s v="14:25"/>
    <x v="0"/>
    <x v="4"/>
    <x v="1"/>
    <n v="2"/>
    <n v="2.8"/>
    <n v="5.6"/>
    <x v="1"/>
    <n v="7"/>
    <x v="0"/>
    <x v="0"/>
    <n v="5.6"/>
    <b v="1"/>
  </r>
  <r>
    <s v="ORD-01390"/>
    <x v="211"/>
    <s v="15:35"/>
    <x v="0"/>
    <x v="10"/>
    <x v="0"/>
    <n v="2"/>
    <n v="11.95"/>
    <n v="23.9"/>
    <x v="0"/>
    <n v="7"/>
    <x v="11"/>
    <x v="0"/>
    <n v="23.9"/>
    <b v="1"/>
  </r>
  <r>
    <s v="ORD-01391"/>
    <x v="267"/>
    <s v="12:30"/>
    <x v="0"/>
    <x v="17"/>
    <x v="0"/>
    <n v="2"/>
    <n v="15.95"/>
    <n v="31.9"/>
    <x v="3"/>
    <n v="17"/>
    <x v="14"/>
    <x v="0"/>
    <n v="31.9"/>
    <b v="1"/>
  </r>
  <r>
    <s v="ORD-01392"/>
    <x v="73"/>
    <s v="19:15"/>
    <x v="1"/>
    <x v="6"/>
    <x v="2"/>
    <n v="1"/>
    <n v="5.5"/>
    <n v="5.5"/>
    <x v="1"/>
    <n v="12"/>
    <x v="7"/>
    <x v="0"/>
    <n v="5.5"/>
    <b v="1"/>
  </r>
  <r>
    <s v="ORD-01393"/>
    <x v="35"/>
    <s v="22:25"/>
    <x v="1"/>
    <x v="15"/>
    <x v="3"/>
    <n v="1"/>
    <n v="5.75"/>
    <n v="5.75"/>
    <x v="3"/>
    <n v="25"/>
    <x v="7"/>
    <x v="0"/>
    <n v="5.75"/>
    <b v="1"/>
  </r>
  <r>
    <s v="ORD-01394"/>
    <x v="8"/>
    <s v="19:50"/>
    <x v="1"/>
    <x v="8"/>
    <x v="0"/>
    <n v="4"/>
    <n v="14.5"/>
    <n v="-58"/>
    <x v="1"/>
    <n v="9"/>
    <x v="21"/>
    <x v="1"/>
    <n v="58"/>
    <b v="1"/>
  </r>
  <r>
    <s v="ORD-01395"/>
    <x v="251"/>
    <s v="13:20"/>
    <x v="0"/>
    <x v="3"/>
    <x v="2"/>
    <n v="1"/>
    <n v="8.5"/>
    <n v="8.5"/>
    <x v="0"/>
    <n v="18"/>
    <x v="8"/>
    <x v="0"/>
    <n v="8.5"/>
    <b v="1"/>
  </r>
  <r>
    <s v="ORD-01396"/>
    <x v="109"/>
    <s v="20:20"/>
    <x v="1"/>
    <x v="10"/>
    <x v="0"/>
    <n v="1"/>
    <n v="11.95"/>
    <n v="11.95"/>
    <x v="0"/>
    <n v="11"/>
    <x v="2"/>
    <x v="0"/>
    <n v="11.95"/>
    <b v="1"/>
  </r>
  <r>
    <s v="ORD-01397"/>
    <x v="76"/>
    <s v="17:50"/>
    <x v="1"/>
    <x v="7"/>
    <x v="3"/>
    <n v="2"/>
    <n v="6.95"/>
    <n v="13.9"/>
    <x v="0"/>
    <n v="20"/>
    <x v="7"/>
    <x v="0"/>
    <n v="13.9"/>
    <b v="1"/>
  </r>
  <r>
    <s v="ORD-01398"/>
    <x v="168"/>
    <s v="13:20"/>
    <x v="0"/>
    <x v="4"/>
    <x v="1"/>
    <n v="1"/>
    <n v="2.8"/>
    <n v="2.8"/>
    <x v="0"/>
    <n v="4"/>
    <x v="22"/>
    <x v="0"/>
    <n v="2.8"/>
    <b v="1"/>
  </r>
  <r>
    <s v="ORD-01399"/>
    <x v="48"/>
    <s v="14:10"/>
    <x v="0"/>
    <x v="8"/>
    <x v="0"/>
    <n v="2"/>
    <n v="14.5"/>
    <n v="29"/>
    <x v="1"/>
    <n v="8"/>
    <x v="10"/>
    <x v="0"/>
    <n v="29"/>
    <b v="1"/>
  </r>
  <r>
    <s v="ORD-01400"/>
    <x v="221"/>
    <s v="19:55"/>
    <x v="1"/>
    <x v="2"/>
    <x v="0"/>
    <n v="1"/>
    <n v="11.5"/>
    <n v="-11.5"/>
    <x v="3"/>
    <n v="3"/>
    <x v="6"/>
    <x v="1"/>
    <n v="11.5"/>
    <b v="1"/>
  </r>
  <r>
    <s v="ORD-01401"/>
    <x v="41"/>
    <s v="19:35"/>
    <x v="1"/>
    <x v="11"/>
    <x v="0"/>
    <n v="1"/>
    <n v="12.5"/>
    <n v="12.5"/>
    <x v="0"/>
    <n v="7"/>
    <x v="17"/>
    <x v="0"/>
    <n v="12.5"/>
    <b v="1"/>
  </r>
  <r>
    <s v="ORD-01402"/>
    <x v="207"/>
    <s v="11:10"/>
    <x v="0"/>
    <x v="10"/>
    <x v="0"/>
    <n v="2"/>
    <n v="11.95"/>
    <n v="23.9"/>
    <x v="2"/>
    <n v="13"/>
    <x v="13"/>
    <x v="0"/>
    <n v="23.9"/>
    <b v="1"/>
  </r>
  <r>
    <s v="ORD-01403"/>
    <x v="228"/>
    <s v="17:40"/>
    <x v="1"/>
    <x v="3"/>
    <x v="2"/>
    <n v="1"/>
    <n v="8.5"/>
    <n v="8.5"/>
    <x v="2"/>
    <n v="28"/>
    <x v="35"/>
    <x v="0"/>
    <n v="8.5"/>
    <b v="1"/>
  </r>
  <r>
    <s v="ORD-01404"/>
    <x v="136"/>
    <s v="13:50"/>
    <x v="0"/>
    <x v="5"/>
    <x v="0"/>
    <n v="2"/>
    <n v="12.95"/>
    <n v="25.9"/>
    <x v="3"/>
    <n v="3"/>
    <x v="7"/>
    <x v="0"/>
    <n v="25.9"/>
    <b v="1"/>
  </r>
  <r>
    <s v="ORD-01405"/>
    <x v="0"/>
    <s v="21:05"/>
    <x v="1"/>
    <x v="18"/>
    <x v="1"/>
    <n v="3"/>
    <n v="6.5"/>
    <n v="19.5"/>
    <x v="2"/>
    <n v="3"/>
    <x v="0"/>
    <x v="0"/>
    <n v="19.5"/>
    <b v="1"/>
  </r>
  <r>
    <s v="ORD-01406"/>
    <x v="45"/>
    <s v="20:35"/>
    <x v="1"/>
    <x v="8"/>
    <x v="0"/>
    <n v="2"/>
    <n v="14.5"/>
    <n v="29"/>
    <x v="0"/>
    <n v="6"/>
    <x v="10"/>
    <x v="0"/>
    <n v="29"/>
    <b v="1"/>
  </r>
  <r>
    <s v="ORD-01407"/>
    <x v="269"/>
    <s v="22:55"/>
    <x v="1"/>
    <x v="12"/>
    <x v="3"/>
    <n v="3"/>
    <n v="7.25"/>
    <n v="21.75"/>
    <x v="0"/>
    <n v="27"/>
    <x v="19"/>
    <x v="0"/>
    <n v="21.75"/>
    <b v="1"/>
  </r>
  <r>
    <s v="ORD-01408"/>
    <x v="36"/>
    <s v="14:10"/>
    <x v="0"/>
    <x v="6"/>
    <x v="2"/>
    <n v="2"/>
    <n v="5.5"/>
    <n v="11"/>
    <x v="2"/>
    <n v="22"/>
    <x v="7"/>
    <x v="0"/>
    <n v="11"/>
    <b v="1"/>
  </r>
  <r>
    <s v="ORD-01409"/>
    <x v="235"/>
    <s v="22:15"/>
    <x v="1"/>
    <x v="18"/>
    <x v="1"/>
    <n v="3"/>
    <n v="6.5"/>
    <n v="19.5"/>
    <x v="1"/>
    <n v="25"/>
    <x v="7"/>
    <x v="0"/>
    <n v="19.5"/>
    <b v="1"/>
  </r>
  <r>
    <s v="ORD-01410"/>
    <x v="77"/>
    <s v="11:40"/>
    <x v="0"/>
    <x v="9"/>
    <x v="1"/>
    <n v="3"/>
    <n v="3.75"/>
    <n v="11.25"/>
    <x v="1"/>
    <n v="25"/>
    <x v="16"/>
    <x v="0"/>
    <n v="11.25"/>
    <b v="1"/>
  </r>
  <r>
    <s v="ORD-01411"/>
    <x v="126"/>
    <s v="19:25"/>
    <x v="1"/>
    <x v="0"/>
    <x v="0"/>
    <n v="2"/>
    <n v="9.9499999999999993"/>
    <n v="19.899999999999999"/>
    <x v="1"/>
    <n v="9"/>
    <x v="8"/>
    <x v="0"/>
    <n v="19.899999999999999"/>
    <b v="1"/>
  </r>
  <r>
    <s v="ORD-01412"/>
    <x v="166"/>
    <s v="17:10"/>
    <x v="1"/>
    <x v="15"/>
    <x v="3"/>
    <n v="1"/>
    <n v="5.75"/>
    <n v="5.75"/>
    <x v="0"/>
    <n v="1"/>
    <x v="27"/>
    <x v="0"/>
    <n v="5.75"/>
    <b v="1"/>
  </r>
  <r>
    <s v="ORD-01413"/>
    <x v="104"/>
    <s v="20:35"/>
    <x v="1"/>
    <x v="7"/>
    <x v="3"/>
    <n v="1"/>
    <n v="6.95"/>
    <n v="-6.95"/>
    <x v="3"/>
    <n v="3"/>
    <x v="5"/>
    <x v="1"/>
    <n v="6.95"/>
    <b v="1"/>
  </r>
  <r>
    <s v="ORD-01414"/>
    <x v="130"/>
    <s v="22:40"/>
    <x v="1"/>
    <x v="10"/>
    <x v="0"/>
    <n v="1"/>
    <n v="11.95"/>
    <n v="11.95"/>
    <x v="3"/>
    <n v="4"/>
    <x v="12"/>
    <x v="0"/>
    <n v="11.95"/>
    <b v="1"/>
  </r>
  <r>
    <s v="ORD-01415"/>
    <x v="103"/>
    <s v="19:30"/>
    <x v="1"/>
    <x v="11"/>
    <x v="0"/>
    <n v="1"/>
    <n v="12.5"/>
    <n v="12.5"/>
    <x v="0"/>
    <n v="9"/>
    <x v="13"/>
    <x v="0"/>
    <n v="12.5"/>
    <b v="1"/>
  </r>
  <r>
    <s v="ORD-01416"/>
    <x v="195"/>
    <s v="14:30"/>
    <x v="0"/>
    <x v="7"/>
    <x v="3"/>
    <n v="3"/>
    <n v="6.95"/>
    <n v="20.85"/>
    <x v="0"/>
    <n v="12"/>
    <x v="0"/>
    <x v="0"/>
    <n v="20.85"/>
    <b v="1"/>
  </r>
  <r>
    <s v="ORD-01417"/>
    <x v="111"/>
    <s v="20:50"/>
    <x v="1"/>
    <x v="19"/>
    <x v="2"/>
    <n v="1"/>
    <n v="7.95"/>
    <n v="7.95"/>
    <x v="3"/>
    <n v="13"/>
    <x v="12"/>
    <x v="0"/>
    <n v="7.95"/>
    <b v="1"/>
  </r>
  <r>
    <s v="ORD-01418"/>
    <x v="131"/>
    <s v="19:55"/>
    <x v="1"/>
    <x v="14"/>
    <x v="2"/>
    <n v="1"/>
    <n v="6.25"/>
    <n v="6.25"/>
    <x v="0"/>
    <n v="6"/>
    <x v="18"/>
    <x v="0"/>
    <n v="6.25"/>
    <b v="1"/>
  </r>
  <r>
    <s v="ORD-01419"/>
    <x v="44"/>
    <s v="18:55"/>
    <x v="1"/>
    <x v="16"/>
    <x v="1"/>
    <n v="2"/>
    <n v="3.25"/>
    <n v="6.5"/>
    <x v="0"/>
    <n v="24"/>
    <x v="22"/>
    <x v="0"/>
    <n v="6.5"/>
    <b v="1"/>
  </r>
  <r>
    <s v="ORD-01420"/>
    <x v="100"/>
    <s v="18:30"/>
    <x v="1"/>
    <x v="17"/>
    <x v="0"/>
    <n v="1"/>
    <n v="15.95"/>
    <n v="15.95"/>
    <x v="0"/>
    <n v="5"/>
    <x v="8"/>
    <x v="0"/>
    <n v="15.95"/>
    <b v="1"/>
  </r>
  <r>
    <s v="ORD-01421"/>
    <x v="176"/>
    <s v="11:10"/>
    <x v="0"/>
    <x v="2"/>
    <x v="0"/>
    <n v="1"/>
    <n v="11.5"/>
    <n v="11.5"/>
    <x v="1"/>
    <n v="27"/>
    <x v="5"/>
    <x v="0"/>
    <n v="11.5"/>
    <b v="1"/>
  </r>
  <r>
    <s v="ORD-01422"/>
    <x v="187"/>
    <s v="11:25"/>
    <x v="0"/>
    <x v="2"/>
    <x v="0"/>
    <n v="3"/>
    <n v="11.5"/>
    <n v="34.5"/>
    <x v="3"/>
    <n v="24"/>
    <x v="19"/>
    <x v="0"/>
    <n v="34.5"/>
    <b v="1"/>
  </r>
  <r>
    <s v="ORD-01423"/>
    <x v="38"/>
    <s v="14:45"/>
    <x v="0"/>
    <x v="1"/>
    <x v="1"/>
    <n v="1"/>
    <n v="3.1"/>
    <n v="3.1"/>
    <x v="0"/>
    <n v="3"/>
    <x v="13"/>
    <x v="0"/>
    <n v="3.1"/>
    <b v="1"/>
  </r>
  <r>
    <s v="ORD-01424"/>
    <x v="72"/>
    <s v="14:35"/>
    <x v="0"/>
    <x v="12"/>
    <x v="3"/>
    <n v="2"/>
    <n v="7.25"/>
    <n v="14.5"/>
    <x v="1"/>
    <n v="15"/>
    <x v="8"/>
    <x v="0"/>
    <n v="14.5"/>
    <b v="1"/>
  </r>
  <r>
    <s v="ORD-01425"/>
    <x v="15"/>
    <s v="14:20"/>
    <x v="0"/>
    <x v="8"/>
    <x v="0"/>
    <n v="1"/>
    <n v="14.5"/>
    <n v="14.5"/>
    <x v="1"/>
    <n v="23"/>
    <x v="0"/>
    <x v="0"/>
    <n v="14.5"/>
    <b v="1"/>
  </r>
  <r>
    <s v="ORD-01426"/>
    <x v="78"/>
    <s v="21:15"/>
    <x v="1"/>
    <x v="8"/>
    <x v="0"/>
    <n v="1"/>
    <n v="14.5"/>
    <n v="14.5"/>
    <x v="3"/>
    <n v="26"/>
    <x v="23"/>
    <x v="0"/>
    <n v="14.5"/>
    <b v="1"/>
  </r>
  <r>
    <s v="ORD-01427"/>
    <x v="121"/>
    <s v="22:05"/>
    <x v="1"/>
    <x v="7"/>
    <x v="3"/>
    <n v="1"/>
    <n v="6.95"/>
    <n v="6.95"/>
    <x v="0"/>
    <n v="6"/>
    <x v="21"/>
    <x v="0"/>
    <n v="6.95"/>
    <b v="1"/>
  </r>
  <r>
    <s v="ORD-01428"/>
    <x v="32"/>
    <s v="14:50"/>
    <x v="0"/>
    <x v="18"/>
    <x v="1"/>
    <n v="1"/>
    <n v="6.5"/>
    <n v="6.5"/>
    <x v="1"/>
    <n v="29"/>
    <x v="5"/>
    <x v="0"/>
    <n v="6.5"/>
    <b v="1"/>
  </r>
  <r>
    <s v="ORD-01429"/>
    <x v="31"/>
    <s v="13:50"/>
    <x v="0"/>
    <x v="8"/>
    <x v="0"/>
    <n v="1"/>
    <n v="14.5"/>
    <n v="14.5"/>
    <x v="1"/>
    <n v="21"/>
    <x v="7"/>
    <x v="0"/>
    <n v="14.5"/>
    <b v="1"/>
  </r>
  <r>
    <s v="ORD-01430"/>
    <x v="60"/>
    <s v="17:10"/>
    <x v="1"/>
    <x v="13"/>
    <x v="0"/>
    <n v="2"/>
    <n v="13.5"/>
    <n v="27"/>
    <x v="0"/>
    <n v="6"/>
    <x v="22"/>
    <x v="0"/>
    <n v="27"/>
    <b v="1"/>
  </r>
  <r>
    <s v="ORD-01431"/>
    <x v="66"/>
    <s v="20:25"/>
    <x v="1"/>
    <x v="11"/>
    <x v="0"/>
    <n v="2"/>
    <n v="12.5"/>
    <n v="25"/>
    <x v="0"/>
    <n v="15"/>
    <x v="11"/>
    <x v="0"/>
    <n v="25"/>
    <b v="1"/>
  </r>
  <r>
    <s v="ORD-01432"/>
    <x v="89"/>
    <s v="13:50"/>
    <x v="0"/>
    <x v="1"/>
    <x v="1"/>
    <n v="3"/>
    <n v="3.1"/>
    <n v="9.3000000000000007"/>
    <x v="1"/>
    <n v="29"/>
    <x v="19"/>
    <x v="0"/>
    <n v="9.3000000000000007"/>
    <b v="1"/>
  </r>
  <r>
    <s v="ORD-01433"/>
    <x v="258"/>
    <s v="20:40"/>
    <x v="1"/>
    <x v="15"/>
    <x v="3"/>
    <n v="2"/>
    <n v="5.75"/>
    <n v="11.5"/>
    <x v="1"/>
    <n v="9"/>
    <x v="23"/>
    <x v="0"/>
    <n v="11.5"/>
    <b v="1"/>
  </r>
  <r>
    <s v="ORD-01434"/>
    <x v="99"/>
    <s v="17:40"/>
    <x v="1"/>
    <x v="8"/>
    <x v="0"/>
    <n v="1"/>
    <n v="14.5"/>
    <n v="14.5"/>
    <x v="1"/>
    <n v="27"/>
    <x v="5"/>
    <x v="0"/>
    <n v="14.5"/>
    <b v="1"/>
  </r>
  <r>
    <s v="ORD-01435"/>
    <x v="97"/>
    <s v="13:20"/>
    <x v="0"/>
    <x v="15"/>
    <x v="3"/>
    <n v="1"/>
    <n v="5.75"/>
    <n v="5.75"/>
    <x v="0"/>
    <n v="6"/>
    <x v="28"/>
    <x v="0"/>
    <n v="5.75"/>
    <b v="1"/>
  </r>
  <r>
    <s v="ORD-01436"/>
    <x v="157"/>
    <s v="12:00"/>
    <x v="0"/>
    <x v="11"/>
    <x v="0"/>
    <n v="2"/>
    <n v="12.5"/>
    <n v="25"/>
    <x v="0"/>
    <n v="17"/>
    <x v="9"/>
    <x v="0"/>
    <n v="25"/>
    <b v="1"/>
  </r>
  <r>
    <s v="ORD-01437"/>
    <x v="190"/>
    <s v="21:40"/>
    <x v="1"/>
    <x v="13"/>
    <x v="0"/>
    <n v="2"/>
    <n v="13.5"/>
    <n v="27"/>
    <x v="1"/>
    <n v="17"/>
    <x v="5"/>
    <x v="0"/>
    <n v="27"/>
    <b v="1"/>
  </r>
  <r>
    <s v="ORD-01438"/>
    <x v="117"/>
    <s v="12:50"/>
    <x v="0"/>
    <x v="9"/>
    <x v="1"/>
    <n v="1"/>
    <n v="3.75"/>
    <n v="0"/>
    <x v="1"/>
    <n v="23"/>
    <x v="16"/>
    <x v="2"/>
    <n v="3.75"/>
    <b v="1"/>
  </r>
  <r>
    <s v="ORD-01439"/>
    <x v="114"/>
    <s v="19:00"/>
    <x v="1"/>
    <x v="7"/>
    <x v="3"/>
    <n v="1"/>
    <n v="6.95"/>
    <n v="6.95"/>
    <x v="1"/>
    <n v="15"/>
    <x v="34"/>
    <x v="0"/>
    <n v="6.95"/>
    <b v="1"/>
  </r>
  <r>
    <s v="ORD-01440"/>
    <x v="30"/>
    <s v="13:55"/>
    <x v="0"/>
    <x v="4"/>
    <x v="1"/>
    <n v="2"/>
    <n v="2.8"/>
    <n v="5.6"/>
    <x v="0"/>
    <n v="30"/>
    <x v="16"/>
    <x v="0"/>
    <n v="5.6"/>
    <b v="1"/>
  </r>
  <r>
    <s v="ORD-01441"/>
    <x v="28"/>
    <s v="14:10"/>
    <x v="0"/>
    <x v="8"/>
    <x v="0"/>
    <n v="1"/>
    <n v="14.5"/>
    <n v="14.5"/>
    <x v="0"/>
    <n v="8"/>
    <x v="10"/>
    <x v="0"/>
    <n v="14.5"/>
    <b v="1"/>
  </r>
  <r>
    <s v="ORD-01442"/>
    <x v="117"/>
    <s v="20:45"/>
    <x v="1"/>
    <x v="11"/>
    <x v="0"/>
    <n v="1"/>
    <n v="12.5"/>
    <n v="12.5"/>
    <x v="1"/>
    <n v="3"/>
    <x v="22"/>
    <x v="0"/>
    <n v="12.5"/>
    <b v="1"/>
  </r>
  <r>
    <s v="ORD-01443"/>
    <x v="174"/>
    <s v="14:05"/>
    <x v="0"/>
    <x v="18"/>
    <x v="1"/>
    <n v="3"/>
    <n v="6.5"/>
    <n v="19.5"/>
    <x v="2"/>
    <n v="9"/>
    <x v="22"/>
    <x v="0"/>
    <n v="19.5"/>
    <b v="1"/>
  </r>
  <r>
    <s v="ORD-01444"/>
    <x v="66"/>
    <s v="21:20"/>
    <x v="1"/>
    <x v="1"/>
    <x v="1"/>
    <n v="1"/>
    <n v="3.1"/>
    <n v="3.1"/>
    <x v="0"/>
    <n v="20"/>
    <x v="10"/>
    <x v="0"/>
    <n v="3.1"/>
    <b v="1"/>
  </r>
  <r>
    <s v="ORD-01445"/>
    <x v="18"/>
    <s v="11:40"/>
    <x v="0"/>
    <x v="9"/>
    <x v="1"/>
    <n v="1"/>
    <n v="3.75"/>
    <n v="3.75"/>
    <x v="1"/>
    <n v="24"/>
    <x v="10"/>
    <x v="0"/>
    <n v="3.75"/>
    <b v="1"/>
  </r>
  <r>
    <s v="ORD-01446"/>
    <x v="231"/>
    <s v="17:30"/>
    <x v="1"/>
    <x v="6"/>
    <x v="2"/>
    <n v="1"/>
    <n v="5.5"/>
    <n v="5.5"/>
    <x v="0"/>
    <n v="14"/>
    <x v="14"/>
    <x v="0"/>
    <n v="5.5"/>
    <b v="1"/>
  </r>
  <r>
    <s v="ORD-01447"/>
    <x v="26"/>
    <s v="18:40"/>
    <x v="1"/>
    <x v="10"/>
    <x v="0"/>
    <n v="1"/>
    <n v="11.95"/>
    <n v="11.95"/>
    <x v="1"/>
    <n v="12"/>
    <x v="14"/>
    <x v="0"/>
    <n v="11.95"/>
    <b v="1"/>
  </r>
  <r>
    <s v="ORD-01448"/>
    <x v="65"/>
    <s v="20:30"/>
    <x v="1"/>
    <x v="13"/>
    <x v="0"/>
    <n v="2"/>
    <n v="13.5"/>
    <n v="-27"/>
    <x v="2"/>
    <n v="9"/>
    <x v="7"/>
    <x v="1"/>
    <n v="27"/>
    <b v="1"/>
  </r>
  <r>
    <s v="ORD-01449"/>
    <x v="174"/>
    <s v="22:40"/>
    <x v="1"/>
    <x v="14"/>
    <x v="2"/>
    <n v="1"/>
    <n v="6.25"/>
    <n v="6.25"/>
    <x v="0"/>
    <n v="4"/>
    <x v="6"/>
    <x v="0"/>
    <n v="6.25"/>
    <b v="1"/>
  </r>
  <r>
    <s v="ORD-01450"/>
    <x v="84"/>
    <s v="14:15"/>
    <x v="0"/>
    <x v="18"/>
    <x v="1"/>
    <n v="1"/>
    <n v="6.5"/>
    <n v="6.5"/>
    <x v="3"/>
    <n v="4"/>
    <x v="24"/>
    <x v="0"/>
    <n v="6.5"/>
    <b v="1"/>
  </r>
  <r>
    <s v="ORD-01451"/>
    <x v="26"/>
    <s v="21:30"/>
    <x v="1"/>
    <x v="9"/>
    <x v="1"/>
    <n v="1"/>
    <n v="3.75"/>
    <n v="3.75"/>
    <x v="2"/>
    <n v="19"/>
    <x v="16"/>
    <x v="0"/>
    <n v="3.75"/>
    <b v="1"/>
  </r>
  <r>
    <s v="ORD-01452"/>
    <x v="22"/>
    <s v="17:15"/>
    <x v="1"/>
    <x v="3"/>
    <x v="2"/>
    <n v="2"/>
    <n v="8.5"/>
    <n v="17"/>
    <x v="0"/>
    <n v="29"/>
    <x v="27"/>
    <x v="0"/>
    <n v="17"/>
    <b v="1"/>
  </r>
  <r>
    <s v="ORD-01453"/>
    <x v="200"/>
    <s v="17:25"/>
    <x v="1"/>
    <x v="15"/>
    <x v="3"/>
    <n v="2"/>
    <n v="5.75"/>
    <n v="11.5"/>
    <x v="2"/>
    <n v="13"/>
    <x v="13"/>
    <x v="0"/>
    <n v="11.5"/>
    <b v="1"/>
  </r>
  <r>
    <s v="ORD-01454"/>
    <x v="62"/>
    <s v="17:15"/>
    <x v="1"/>
    <x v="18"/>
    <x v="1"/>
    <n v="1"/>
    <n v="6.5"/>
    <n v="6.5"/>
    <x v="1"/>
    <n v="11"/>
    <x v="5"/>
    <x v="0"/>
    <n v="6.5"/>
    <b v="1"/>
  </r>
  <r>
    <s v="ORD-01455"/>
    <x v="234"/>
    <s v="22:35"/>
    <x v="1"/>
    <x v="6"/>
    <x v="2"/>
    <n v="1"/>
    <n v="5.5"/>
    <n v="5.5"/>
    <x v="1"/>
    <n v="8"/>
    <x v="0"/>
    <x v="0"/>
    <n v="5.5"/>
    <b v="1"/>
  </r>
  <r>
    <s v="ORD-01456"/>
    <x v="228"/>
    <s v="13:10"/>
    <x v="0"/>
    <x v="11"/>
    <x v="0"/>
    <n v="1"/>
    <n v="12.5"/>
    <n v="12.5"/>
    <x v="1"/>
    <n v="21"/>
    <x v="25"/>
    <x v="0"/>
    <n v="12.5"/>
    <b v="1"/>
  </r>
  <r>
    <s v="ORD-01457"/>
    <x v="81"/>
    <s v="18:35"/>
    <x v="1"/>
    <x v="5"/>
    <x v="0"/>
    <n v="1"/>
    <n v="12.95"/>
    <n v="12.95"/>
    <x v="1"/>
    <n v="8"/>
    <x v="22"/>
    <x v="0"/>
    <n v="12.95"/>
    <b v="1"/>
  </r>
  <r>
    <s v="ORD-01458"/>
    <x v="211"/>
    <s v="11:50"/>
    <x v="0"/>
    <x v="7"/>
    <x v="3"/>
    <n v="1"/>
    <n v="6.95"/>
    <n v="6.95"/>
    <x v="1"/>
    <n v="21"/>
    <x v="14"/>
    <x v="0"/>
    <n v="6.95"/>
    <b v="1"/>
  </r>
  <r>
    <s v="ORD-01459"/>
    <x v="219"/>
    <s v="14:25"/>
    <x v="0"/>
    <x v="14"/>
    <x v="2"/>
    <n v="2"/>
    <n v="6.25"/>
    <n v="12.5"/>
    <x v="1"/>
    <n v="11"/>
    <x v="10"/>
    <x v="0"/>
    <n v="12.5"/>
    <b v="1"/>
  </r>
  <r>
    <s v="ORD-01460"/>
    <x v="21"/>
    <s v="21:55"/>
    <x v="1"/>
    <x v="4"/>
    <x v="1"/>
    <n v="1"/>
    <n v="2.8"/>
    <n v="2.8"/>
    <x v="1"/>
    <n v="18"/>
    <x v="1"/>
    <x v="0"/>
    <n v="2.8"/>
    <b v="1"/>
  </r>
  <r>
    <s v="ORD-01461"/>
    <x v="23"/>
    <s v="11:55"/>
    <x v="0"/>
    <x v="9"/>
    <x v="1"/>
    <n v="3"/>
    <n v="3.75"/>
    <n v="11.25"/>
    <x v="1"/>
    <n v="23"/>
    <x v="11"/>
    <x v="0"/>
    <n v="11.25"/>
    <b v="1"/>
  </r>
  <r>
    <s v="ORD-01462"/>
    <x v="242"/>
    <s v="20:05"/>
    <x v="1"/>
    <x v="19"/>
    <x v="2"/>
    <n v="2"/>
    <n v="7.95"/>
    <n v="15.9"/>
    <x v="3"/>
    <n v="11"/>
    <x v="6"/>
    <x v="0"/>
    <n v="15.9"/>
    <b v="1"/>
  </r>
  <r>
    <s v="ORD-01463"/>
    <x v="83"/>
    <s v="18:40"/>
    <x v="1"/>
    <x v="8"/>
    <x v="0"/>
    <n v="2"/>
    <n v="14.5"/>
    <n v="29"/>
    <x v="3"/>
    <n v="23"/>
    <x v="18"/>
    <x v="0"/>
    <n v="29"/>
    <b v="1"/>
  </r>
  <r>
    <s v="ORD-01464"/>
    <x v="7"/>
    <s v="20:50"/>
    <x v="1"/>
    <x v="11"/>
    <x v="0"/>
    <n v="1"/>
    <n v="12.5"/>
    <n v="12.5"/>
    <x v="3"/>
    <n v="8"/>
    <x v="17"/>
    <x v="0"/>
    <n v="12.5"/>
    <b v="1"/>
  </r>
  <r>
    <s v="ORD-01465"/>
    <x v="169"/>
    <s v="20:40"/>
    <x v="1"/>
    <x v="4"/>
    <x v="1"/>
    <n v="4"/>
    <n v="2.8"/>
    <n v="11.2"/>
    <x v="0"/>
    <n v="19"/>
    <x v="30"/>
    <x v="0"/>
    <n v="11.2"/>
    <b v="1"/>
  </r>
  <r>
    <s v="ORD-01466"/>
    <x v="264"/>
    <s v="22:25"/>
    <x v="1"/>
    <x v="6"/>
    <x v="2"/>
    <n v="1"/>
    <n v="5.5"/>
    <n v="5.5"/>
    <x v="3"/>
    <n v="29"/>
    <x v="23"/>
    <x v="0"/>
    <n v="5.5"/>
    <b v="1"/>
  </r>
  <r>
    <s v="ORD-01467"/>
    <x v="47"/>
    <s v="13:05"/>
    <x v="0"/>
    <x v="8"/>
    <x v="0"/>
    <n v="1"/>
    <n v="14.5"/>
    <n v="14.5"/>
    <x v="1"/>
    <n v="5"/>
    <x v="10"/>
    <x v="0"/>
    <n v="14.5"/>
    <b v="1"/>
  </r>
  <r>
    <s v="ORD-01468"/>
    <x v="130"/>
    <s v="21:25"/>
    <x v="1"/>
    <x v="10"/>
    <x v="0"/>
    <n v="2"/>
    <n v="11.95"/>
    <n v="23.9"/>
    <x v="0"/>
    <n v="8"/>
    <x v="12"/>
    <x v="0"/>
    <n v="23.9"/>
    <b v="1"/>
  </r>
  <r>
    <s v="ORD-01469"/>
    <x v="216"/>
    <s v="21:00"/>
    <x v="1"/>
    <x v="15"/>
    <x v="3"/>
    <n v="2"/>
    <n v="5.75"/>
    <n v="11.5"/>
    <x v="1"/>
    <n v="6"/>
    <x v="20"/>
    <x v="0"/>
    <n v="11.5"/>
    <b v="1"/>
  </r>
  <r>
    <s v="ORD-01470"/>
    <x v="123"/>
    <s v="17:25"/>
    <x v="1"/>
    <x v="16"/>
    <x v="1"/>
    <n v="2"/>
    <n v="3.25"/>
    <n v="6.5"/>
    <x v="0"/>
    <n v="3"/>
    <x v="5"/>
    <x v="0"/>
    <n v="6.5"/>
    <b v="1"/>
  </r>
  <r>
    <s v="ORD-01471"/>
    <x v="72"/>
    <s v="19:45"/>
    <x v="1"/>
    <x v="6"/>
    <x v="2"/>
    <n v="3"/>
    <n v="5.5"/>
    <n v="16.5"/>
    <x v="0"/>
    <n v="14"/>
    <x v="12"/>
    <x v="0"/>
    <n v="16.5"/>
    <b v="1"/>
  </r>
  <r>
    <s v="ORD-01472"/>
    <x v="160"/>
    <s v="18:50"/>
    <x v="1"/>
    <x v="15"/>
    <x v="3"/>
    <n v="1"/>
    <n v="5.75"/>
    <n v="5.75"/>
    <x v="1"/>
    <n v="22"/>
    <x v="13"/>
    <x v="0"/>
    <n v="5.75"/>
    <b v="1"/>
  </r>
  <r>
    <s v="ORD-01473"/>
    <x v="161"/>
    <s v="21:30"/>
    <x v="1"/>
    <x v="8"/>
    <x v="0"/>
    <n v="2"/>
    <n v="14.5"/>
    <n v="29"/>
    <x v="1"/>
    <n v="20"/>
    <x v="22"/>
    <x v="0"/>
    <n v="29"/>
    <b v="1"/>
  </r>
  <r>
    <s v="ORD-01474"/>
    <x v="103"/>
    <s v="17:45"/>
    <x v="1"/>
    <x v="5"/>
    <x v="0"/>
    <n v="1"/>
    <n v="12.95"/>
    <n v="12.95"/>
    <x v="0"/>
    <n v="6"/>
    <x v="14"/>
    <x v="0"/>
    <n v="12.95"/>
    <b v="1"/>
  </r>
  <r>
    <s v="ORD-01475"/>
    <x v="227"/>
    <s v="18:10"/>
    <x v="1"/>
    <x v="2"/>
    <x v="0"/>
    <n v="2"/>
    <n v="11.5"/>
    <n v="23"/>
    <x v="3"/>
    <n v="4"/>
    <x v="19"/>
    <x v="0"/>
    <n v="23"/>
    <b v="1"/>
  </r>
  <r>
    <s v="ORD-01476"/>
    <x v="264"/>
    <s v="20:55"/>
    <x v="1"/>
    <x v="16"/>
    <x v="1"/>
    <n v="1"/>
    <n v="3.25"/>
    <n v="3.25"/>
    <x v="1"/>
    <n v="6"/>
    <x v="4"/>
    <x v="0"/>
    <n v="3.25"/>
    <b v="1"/>
  </r>
  <r>
    <s v="ORD-01477"/>
    <x v="242"/>
    <s v="14:20"/>
    <x v="0"/>
    <x v="16"/>
    <x v="1"/>
    <n v="1"/>
    <n v="3.25"/>
    <n v="3.25"/>
    <x v="0"/>
    <n v="21"/>
    <x v="11"/>
    <x v="0"/>
    <n v="3.25"/>
    <b v="1"/>
  </r>
  <r>
    <s v="ORD-01478"/>
    <x v="269"/>
    <s v="17:40"/>
    <x v="1"/>
    <x v="6"/>
    <x v="2"/>
    <n v="1"/>
    <n v="5.5"/>
    <n v="5.5"/>
    <x v="3"/>
    <n v="2"/>
    <x v="6"/>
    <x v="0"/>
    <n v="5.5"/>
    <b v="1"/>
  </r>
  <r>
    <s v="ORD-01479"/>
    <x v="168"/>
    <s v="17:10"/>
    <x v="1"/>
    <x v="2"/>
    <x v="0"/>
    <n v="3"/>
    <n v="11.5"/>
    <n v="34.5"/>
    <x v="1"/>
    <n v="10"/>
    <x v="27"/>
    <x v="0"/>
    <n v="34.5"/>
    <b v="1"/>
  </r>
  <r>
    <s v="ORD-01480"/>
    <x v="185"/>
    <s v="18:15"/>
    <x v="1"/>
    <x v="9"/>
    <x v="1"/>
    <n v="1"/>
    <n v="3.75"/>
    <n v="3.75"/>
    <x v="3"/>
    <n v="7"/>
    <x v="14"/>
    <x v="0"/>
    <n v="3.75"/>
    <b v="1"/>
  </r>
  <r>
    <s v="ORD-01481"/>
    <x v="143"/>
    <s v="18:45"/>
    <x v="1"/>
    <x v="3"/>
    <x v="2"/>
    <n v="1"/>
    <n v="8.5"/>
    <n v="8.5"/>
    <x v="0"/>
    <n v="6"/>
    <x v="10"/>
    <x v="0"/>
    <n v="8.5"/>
    <b v="1"/>
  </r>
  <r>
    <s v="ORD-01482"/>
    <x v="229"/>
    <s v="11:40"/>
    <x v="0"/>
    <x v="10"/>
    <x v="0"/>
    <n v="2"/>
    <n v="11.95"/>
    <n v="23.9"/>
    <x v="1"/>
    <n v="30"/>
    <x v="11"/>
    <x v="0"/>
    <n v="23.9"/>
    <b v="1"/>
  </r>
  <r>
    <s v="ORD-01483"/>
    <x v="126"/>
    <s v="21:40"/>
    <x v="1"/>
    <x v="17"/>
    <x v="0"/>
    <n v="3"/>
    <n v="15.95"/>
    <n v="47.85"/>
    <x v="3"/>
    <n v="20"/>
    <x v="13"/>
    <x v="0"/>
    <n v="47.849999999999994"/>
    <b v="1"/>
  </r>
  <r>
    <s v="ORD-01484"/>
    <x v="194"/>
    <s v="21:30"/>
    <x v="1"/>
    <x v="15"/>
    <x v="3"/>
    <n v="3"/>
    <n v="5.75"/>
    <n v="17.25"/>
    <x v="1"/>
    <n v="18"/>
    <x v="21"/>
    <x v="0"/>
    <n v="17.25"/>
    <b v="1"/>
  </r>
  <r>
    <s v="ORD-01485"/>
    <x v="51"/>
    <s v="12:35"/>
    <x v="0"/>
    <x v="11"/>
    <x v="0"/>
    <n v="2"/>
    <n v="12.5"/>
    <n v="25"/>
    <x v="0"/>
    <n v="30"/>
    <x v="4"/>
    <x v="0"/>
    <n v="25"/>
    <b v="1"/>
  </r>
  <r>
    <s v="ORD-01486"/>
    <x v="22"/>
    <s v="17:50"/>
    <x v="1"/>
    <x v="14"/>
    <x v="2"/>
    <n v="3"/>
    <n v="6.25"/>
    <n v="18.75"/>
    <x v="0"/>
    <n v="19"/>
    <x v="26"/>
    <x v="0"/>
    <n v="18.75"/>
    <b v="1"/>
  </r>
  <r>
    <s v="ORD-01487"/>
    <x v="29"/>
    <s v="21:50"/>
    <x v="1"/>
    <x v="11"/>
    <x v="0"/>
    <n v="1"/>
    <n v="12.5"/>
    <n v="12.5"/>
    <x v="0"/>
    <n v="21"/>
    <x v="10"/>
    <x v="0"/>
    <n v="12.5"/>
    <b v="1"/>
  </r>
  <r>
    <s v="ORD-01488"/>
    <x v="13"/>
    <s v="14:00"/>
    <x v="0"/>
    <x v="16"/>
    <x v="1"/>
    <n v="1"/>
    <n v="3.25"/>
    <n v="3.25"/>
    <x v="0"/>
    <n v="16"/>
    <x v="0"/>
    <x v="0"/>
    <n v="3.25"/>
    <b v="1"/>
  </r>
  <r>
    <s v="ORD-01489"/>
    <x v="211"/>
    <s v="19:50"/>
    <x v="1"/>
    <x v="13"/>
    <x v="0"/>
    <n v="1"/>
    <n v="13.5"/>
    <n v="13.5"/>
    <x v="0"/>
    <n v="29"/>
    <x v="17"/>
    <x v="0"/>
    <n v="13.5"/>
    <b v="1"/>
  </r>
  <r>
    <s v="ORD-01490"/>
    <x v="184"/>
    <s v="22:00"/>
    <x v="1"/>
    <x v="4"/>
    <x v="1"/>
    <n v="1"/>
    <n v="2.8"/>
    <n v="2.8"/>
    <x v="1"/>
    <n v="13"/>
    <x v="7"/>
    <x v="0"/>
    <n v="2.8"/>
    <b v="1"/>
  </r>
  <r>
    <s v="ORD-01491"/>
    <x v="145"/>
    <s v="22:30"/>
    <x v="1"/>
    <x v="1"/>
    <x v="1"/>
    <n v="1"/>
    <n v="3.1"/>
    <n v="3.1"/>
    <x v="3"/>
    <n v="2"/>
    <x v="30"/>
    <x v="0"/>
    <n v="3.1"/>
    <b v="1"/>
  </r>
  <r>
    <s v="ORD-01492"/>
    <x v="22"/>
    <s v="18:15"/>
    <x v="1"/>
    <x v="14"/>
    <x v="2"/>
    <n v="1"/>
    <n v="6.25"/>
    <n v="6.25"/>
    <x v="1"/>
    <n v="16"/>
    <x v="19"/>
    <x v="0"/>
    <n v="6.25"/>
    <b v="1"/>
  </r>
  <r>
    <s v="ORD-01493"/>
    <x v="238"/>
    <s v="14:15"/>
    <x v="0"/>
    <x v="10"/>
    <x v="0"/>
    <n v="3"/>
    <n v="11.95"/>
    <n v="35.85"/>
    <x v="2"/>
    <n v="30"/>
    <x v="21"/>
    <x v="0"/>
    <n v="35.849999999999994"/>
    <b v="1"/>
  </r>
  <r>
    <s v="ORD-01494"/>
    <x v="241"/>
    <s v="18:25"/>
    <x v="1"/>
    <x v="7"/>
    <x v="3"/>
    <n v="1"/>
    <n v="6.95"/>
    <n v="6.95"/>
    <x v="1"/>
    <n v="20"/>
    <x v="7"/>
    <x v="0"/>
    <n v="6.95"/>
    <b v="1"/>
  </r>
  <r>
    <s v="ORD-01495"/>
    <x v="207"/>
    <s v="20:50"/>
    <x v="1"/>
    <x v="18"/>
    <x v="1"/>
    <n v="2"/>
    <n v="6.5"/>
    <n v="13"/>
    <x v="0"/>
    <n v="21"/>
    <x v="4"/>
    <x v="0"/>
    <n v="13"/>
    <b v="1"/>
  </r>
  <r>
    <s v="ORD-01496"/>
    <x v="231"/>
    <s v="17:30"/>
    <x v="1"/>
    <x v="12"/>
    <x v="3"/>
    <n v="1"/>
    <n v="7.25"/>
    <n v="7.25"/>
    <x v="2"/>
    <n v="27"/>
    <x v="29"/>
    <x v="0"/>
    <n v="7.25"/>
    <b v="1"/>
  </r>
  <r>
    <s v="ORD-01497"/>
    <x v="268"/>
    <s v="22:55"/>
    <x v="1"/>
    <x v="7"/>
    <x v="3"/>
    <n v="1"/>
    <n v="6.95"/>
    <n v="-6.95"/>
    <x v="1"/>
    <n v="8"/>
    <x v="5"/>
    <x v="1"/>
    <n v="6.95"/>
    <b v="1"/>
  </r>
  <r>
    <s v="ORD-01498"/>
    <x v="59"/>
    <s v="14:05"/>
    <x v="0"/>
    <x v="17"/>
    <x v="0"/>
    <n v="1"/>
    <n v="15.95"/>
    <n v="15.95"/>
    <x v="1"/>
    <n v="24"/>
    <x v="20"/>
    <x v="0"/>
    <n v="15.95"/>
    <b v="1"/>
  </r>
  <r>
    <s v="ORD-01499"/>
    <x v="209"/>
    <s v="13:20"/>
    <x v="0"/>
    <x v="18"/>
    <x v="1"/>
    <n v="1"/>
    <n v="6.5"/>
    <n v="-6.5"/>
    <x v="1"/>
    <n v="29"/>
    <x v="8"/>
    <x v="1"/>
    <n v="6.5"/>
    <b v="1"/>
  </r>
  <r>
    <s v="ORD-01500"/>
    <x v="64"/>
    <s v="20:15"/>
    <x v="1"/>
    <x v="8"/>
    <x v="0"/>
    <n v="1"/>
    <n v="14.5"/>
    <n v="14.5"/>
    <x v="0"/>
    <n v="16"/>
    <x v="12"/>
    <x v="0"/>
    <n v="14.5"/>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4FED68-9A83-46FD-BF3F-71702F08E28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7">
    <pivotField dataField="1" showAll="0"/>
    <pivotField numFmtId="164" showAll="0">
      <items count="272">
        <item x="15"/>
        <item x="250"/>
        <item x="210"/>
        <item x="230"/>
        <item x="36"/>
        <item x="66"/>
        <item x="192"/>
        <item x="238"/>
        <item x="131"/>
        <item x="243"/>
        <item x="54"/>
        <item x="158"/>
        <item x="265"/>
        <item x="56"/>
        <item x="141"/>
        <item x="134"/>
        <item x="1"/>
        <item x="206"/>
        <item x="261"/>
        <item x="40"/>
        <item x="37"/>
        <item x="61"/>
        <item x="199"/>
        <item x="197"/>
        <item x="228"/>
        <item x="204"/>
        <item x="145"/>
        <item x="186"/>
        <item x="8"/>
        <item x="233"/>
        <item x="168"/>
        <item x="53"/>
        <item x="72"/>
        <item x="28"/>
        <item x="5"/>
        <item x="19"/>
        <item x="48"/>
        <item x="23"/>
        <item x="220"/>
        <item x="16"/>
        <item x="75"/>
        <item x="170"/>
        <item x="113"/>
        <item x="64"/>
        <item x="225"/>
        <item x="80"/>
        <item x="24"/>
        <item x="154"/>
        <item x="143"/>
        <item x="22"/>
        <item x="149"/>
        <item x="173"/>
        <item x="213"/>
        <item x="14"/>
        <item x="181"/>
        <item x="253"/>
        <item x="0"/>
        <item x="59"/>
        <item x="33"/>
        <item x="135"/>
        <item x="248"/>
        <item x="49"/>
        <item x="43"/>
        <item x="70"/>
        <item x="44"/>
        <item x="214"/>
        <item x="31"/>
        <item x="160"/>
        <item x="237"/>
        <item x="96"/>
        <item x="127"/>
        <item x="112"/>
        <item x="163"/>
        <item x="167"/>
        <item x="260"/>
        <item x="119"/>
        <item x="190"/>
        <item x="11"/>
        <item x="267"/>
        <item x="257"/>
        <item x="117"/>
        <item x="125"/>
        <item x="255"/>
        <item x="122"/>
        <item x="179"/>
        <item x="140"/>
        <item x="93"/>
        <item x="184"/>
        <item x="137"/>
        <item x="241"/>
        <item x="196"/>
        <item x="176"/>
        <item x="132"/>
        <item x="249"/>
        <item x="205"/>
        <item x="88"/>
        <item x="21"/>
        <item x="262"/>
        <item x="115"/>
        <item x="175"/>
        <item x="60"/>
        <item x="150"/>
        <item x="251"/>
        <item x="34"/>
        <item x="203"/>
        <item x="104"/>
        <item x="259"/>
        <item x="223"/>
        <item x="218"/>
        <item x="109"/>
        <item x="166"/>
        <item x="201"/>
        <item x="101"/>
        <item x="216"/>
        <item x="121"/>
        <item x="91"/>
        <item x="79"/>
        <item x="151"/>
        <item x="161"/>
        <item x="47"/>
        <item x="162"/>
        <item x="148"/>
        <item x="144"/>
        <item x="164"/>
        <item x="7"/>
        <item x="51"/>
        <item x="227"/>
        <item x="68"/>
        <item x="268"/>
        <item x="212"/>
        <item x="207"/>
        <item x="221"/>
        <item x="10"/>
        <item x="90"/>
        <item x="254"/>
        <item x="188"/>
        <item x="63"/>
        <item x="231"/>
        <item x="116"/>
        <item x="174"/>
        <item x="20"/>
        <item x="146"/>
        <item x="124"/>
        <item x="71"/>
        <item x="193"/>
        <item x="270"/>
        <item x="222"/>
        <item x="215"/>
        <item x="92"/>
        <item x="97"/>
        <item x="240"/>
        <item x="30"/>
        <item x="32"/>
        <item x="247"/>
        <item x="211"/>
        <item x="77"/>
        <item x="111"/>
        <item x="244"/>
        <item x="41"/>
        <item x="171"/>
        <item x="246"/>
        <item x="52"/>
        <item x="187"/>
        <item x="105"/>
        <item x="108"/>
        <item x="172"/>
        <item x="118"/>
        <item x="153"/>
        <item x="35"/>
        <item x="152"/>
        <item x="3"/>
        <item x="269"/>
        <item x="258"/>
        <item x="189"/>
        <item x="94"/>
        <item x="198"/>
        <item x="126"/>
        <item x="58"/>
        <item x="129"/>
        <item x="242"/>
        <item x="133"/>
        <item x="103"/>
        <item x="178"/>
        <item x="224"/>
        <item x="6"/>
        <item x="99"/>
        <item x="138"/>
        <item x="102"/>
        <item x="100"/>
        <item x="185"/>
        <item x="252"/>
        <item x="165"/>
        <item x="57"/>
        <item x="219"/>
        <item x="208"/>
        <item x="202"/>
        <item x="264"/>
        <item x="25"/>
        <item x="191"/>
        <item x="200"/>
        <item x="95"/>
        <item x="209"/>
        <item x="256"/>
        <item x="81"/>
        <item x="82"/>
        <item x="55"/>
        <item x="38"/>
        <item x="177"/>
        <item x="39"/>
        <item x="234"/>
        <item x="86"/>
        <item x="73"/>
        <item x="2"/>
        <item x="159"/>
        <item x="17"/>
        <item x="114"/>
        <item x="182"/>
        <item x="74"/>
        <item x="45"/>
        <item x="62"/>
        <item x="13"/>
        <item x="42"/>
        <item x="18"/>
        <item x="89"/>
        <item x="83"/>
        <item x="229"/>
        <item x="155"/>
        <item x="123"/>
        <item x="183"/>
        <item x="232"/>
        <item x="194"/>
        <item x="195"/>
        <item x="128"/>
        <item x="4"/>
        <item x="85"/>
        <item x="180"/>
        <item x="245"/>
        <item x="263"/>
        <item x="76"/>
        <item x="156"/>
        <item x="46"/>
        <item x="67"/>
        <item x="147"/>
        <item x="139"/>
        <item x="110"/>
        <item x="169"/>
        <item x="84"/>
        <item x="26"/>
        <item x="87"/>
        <item x="136"/>
        <item x="78"/>
        <item x="65"/>
        <item x="142"/>
        <item x="9"/>
        <item x="236"/>
        <item x="27"/>
        <item x="50"/>
        <item x="130"/>
        <item x="266"/>
        <item x="157"/>
        <item x="106"/>
        <item x="217"/>
        <item x="239"/>
        <item x="226"/>
        <item x="107"/>
        <item x="29"/>
        <item x="69"/>
        <item x="120"/>
        <item x="12"/>
        <item x="98"/>
        <item x="235"/>
        <item t="default"/>
      </items>
    </pivotField>
    <pivotField showAll="0"/>
    <pivotField showAll="0"/>
    <pivotField showAll="0"/>
    <pivotField showAll="0">
      <items count="5">
        <item x="3"/>
        <item x="1"/>
        <item x="0"/>
        <item x="2"/>
        <item t="default"/>
      </items>
    </pivotField>
    <pivotField showAll="0"/>
    <pivotField numFmtId="165" showAll="0"/>
    <pivotField dataField="1" numFmtId="165"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Net revenue" fld="8" baseField="0" baseItem="0" numFmtId="166"/>
    <dataField name="Total Orders"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38A314-BD43-4F60-9454-F3A415DA0ED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7">
    <pivotField showAll="0"/>
    <pivotField numFmtId="164" showAll="0">
      <items count="272">
        <item x="15"/>
        <item x="250"/>
        <item x="210"/>
        <item x="230"/>
        <item x="36"/>
        <item x="66"/>
        <item x="192"/>
        <item x="238"/>
        <item x="131"/>
        <item x="243"/>
        <item x="54"/>
        <item x="158"/>
        <item x="265"/>
        <item x="56"/>
        <item x="141"/>
        <item x="134"/>
        <item x="1"/>
        <item x="206"/>
        <item x="261"/>
        <item x="40"/>
        <item x="37"/>
        <item x="61"/>
        <item x="199"/>
        <item x="197"/>
        <item x="228"/>
        <item x="204"/>
        <item x="145"/>
        <item x="186"/>
        <item x="8"/>
        <item x="233"/>
        <item x="168"/>
        <item x="53"/>
        <item x="72"/>
        <item x="28"/>
        <item x="5"/>
        <item x="19"/>
        <item x="48"/>
        <item x="23"/>
        <item x="220"/>
        <item x="16"/>
        <item x="75"/>
        <item x="170"/>
        <item x="113"/>
        <item x="64"/>
        <item x="225"/>
        <item x="80"/>
        <item x="24"/>
        <item x="154"/>
        <item x="143"/>
        <item x="22"/>
        <item x="149"/>
        <item x="173"/>
        <item x="213"/>
        <item x="14"/>
        <item x="181"/>
        <item x="253"/>
        <item x="0"/>
        <item x="59"/>
        <item x="33"/>
        <item x="135"/>
        <item x="248"/>
        <item x="49"/>
        <item x="43"/>
        <item x="70"/>
        <item x="44"/>
        <item x="214"/>
        <item x="31"/>
        <item x="160"/>
        <item x="237"/>
        <item x="96"/>
        <item x="127"/>
        <item x="112"/>
        <item x="163"/>
        <item x="167"/>
        <item x="260"/>
        <item x="119"/>
        <item x="190"/>
        <item x="11"/>
        <item x="267"/>
        <item x="257"/>
        <item x="117"/>
        <item x="125"/>
        <item x="255"/>
        <item x="122"/>
        <item x="179"/>
        <item x="140"/>
        <item x="93"/>
        <item x="184"/>
        <item x="137"/>
        <item x="241"/>
        <item x="196"/>
        <item x="176"/>
        <item x="132"/>
        <item x="249"/>
        <item x="205"/>
        <item x="88"/>
        <item x="21"/>
        <item x="262"/>
        <item x="115"/>
        <item x="175"/>
        <item x="60"/>
        <item x="150"/>
        <item x="251"/>
        <item x="34"/>
        <item x="203"/>
        <item x="104"/>
        <item x="259"/>
        <item x="223"/>
        <item x="218"/>
        <item x="109"/>
        <item x="166"/>
        <item x="201"/>
        <item x="101"/>
        <item x="216"/>
        <item x="121"/>
        <item x="91"/>
        <item x="79"/>
        <item x="151"/>
        <item x="161"/>
        <item x="47"/>
        <item x="162"/>
        <item x="148"/>
        <item x="144"/>
        <item x="164"/>
        <item x="7"/>
        <item x="51"/>
        <item x="227"/>
        <item x="68"/>
        <item x="268"/>
        <item x="212"/>
        <item x="207"/>
        <item x="221"/>
        <item x="10"/>
        <item x="90"/>
        <item x="254"/>
        <item x="188"/>
        <item x="63"/>
        <item x="231"/>
        <item x="116"/>
        <item x="174"/>
        <item x="20"/>
        <item x="146"/>
        <item x="124"/>
        <item x="71"/>
        <item x="193"/>
        <item x="270"/>
        <item x="222"/>
        <item x="215"/>
        <item x="92"/>
        <item x="97"/>
        <item x="240"/>
        <item x="30"/>
        <item x="32"/>
        <item x="247"/>
        <item x="211"/>
        <item x="77"/>
        <item x="111"/>
        <item x="244"/>
        <item x="41"/>
        <item x="171"/>
        <item x="246"/>
        <item x="52"/>
        <item x="187"/>
        <item x="105"/>
        <item x="108"/>
        <item x="172"/>
        <item x="118"/>
        <item x="153"/>
        <item x="35"/>
        <item x="152"/>
        <item x="3"/>
        <item x="269"/>
        <item x="258"/>
        <item x="189"/>
        <item x="94"/>
        <item x="198"/>
        <item x="126"/>
        <item x="58"/>
        <item x="129"/>
        <item x="242"/>
        <item x="133"/>
        <item x="103"/>
        <item x="178"/>
        <item x="224"/>
        <item x="6"/>
        <item x="99"/>
        <item x="138"/>
        <item x="102"/>
        <item x="100"/>
        <item x="185"/>
        <item x="252"/>
        <item x="165"/>
        <item x="57"/>
        <item x="219"/>
        <item x="208"/>
        <item x="202"/>
        <item x="264"/>
        <item x="25"/>
        <item x="191"/>
        <item x="200"/>
        <item x="95"/>
        <item x="209"/>
        <item x="256"/>
        <item x="81"/>
        <item x="82"/>
        <item x="55"/>
        <item x="38"/>
        <item x="177"/>
        <item x="39"/>
        <item x="234"/>
        <item x="86"/>
        <item x="73"/>
        <item x="2"/>
        <item x="159"/>
        <item x="17"/>
        <item x="114"/>
        <item x="182"/>
        <item x="74"/>
        <item x="45"/>
        <item x="62"/>
        <item x="13"/>
        <item x="42"/>
        <item x="18"/>
        <item x="89"/>
        <item x="83"/>
        <item x="229"/>
        <item x="155"/>
        <item x="123"/>
        <item x="183"/>
        <item x="232"/>
        <item x="194"/>
        <item x="195"/>
        <item x="128"/>
        <item x="4"/>
        <item x="85"/>
        <item x="180"/>
        <item x="245"/>
        <item x="263"/>
        <item x="76"/>
        <item x="156"/>
        <item x="46"/>
        <item x="67"/>
        <item x="147"/>
        <item x="139"/>
        <item x="110"/>
        <item x="169"/>
        <item x="84"/>
        <item x="26"/>
        <item x="87"/>
        <item x="136"/>
        <item x="78"/>
        <item x="65"/>
        <item x="142"/>
        <item x="9"/>
        <item x="236"/>
        <item x="27"/>
        <item x="50"/>
        <item x="130"/>
        <item x="266"/>
        <item x="157"/>
        <item x="106"/>
        <item x="217"/>
        <item x="239"/>
        <item x="226"/>
        <item x="107"/>
        <item x="29"/>
        <item x="69"/>
        <item x="120"/>
        <item x="12"/>
        <item x="98"/>
        <item x="235"/>
        <item t="default"/>
      </items>
    </pivotField>
    <pivotField showAll="0"/>
    <pivotField axis="axisRow" showAll="0">
      <items count="3">
        <item x="1"/>
        <item x="0"/>
        <item t="default"/>
      </items>
    </pivotField>
    <pivotField showAll="0"/>
    <pivotField showAll="0">
      <items count="5">
        <item x="3"/>
        <item x="1"/>
        <item x="0"/>
        <item x="2"/>
        <item t="default"/>
      </items>
    </pivotField>
    <pivotField showAll="0"/>
    <pivotField numFmtId="165" showAll="0"/>
    <pivotField dataField="1" numFmtId="165"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Sum of Total_Sales_GBP" fld="8" baseField="0" baseItem="0" numFmtId="165"/>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EC37FB-2DEC-471B-8E9D-4D4BF606F0C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7">
    <pivotField showAll="0"/>
    <pivotField numFmtId="164" showAll="0">
      <items count="272">
        <item x="15"/>
        <item x="250"/>
        <item x="210"/>
        <item x="230"/>
        <item x="36"/>
        <item x="66"/>
        <item x="192"/>
        <item x="238"/>
        <item x="131"/>
        <item x="243"/>
        <item x="54"/>
        <item x="158"/>
        <item x="265"/>
        <item x="56"/>
        <item x="141"/>
        <item x="134"/>
        <item x="1"/>
        <item x="206"/>
        <item x="261"/>
        <item x="40"/>
        <item x="37"/>
        <item x="61"/>
        <item x="199"/>
        <item x="197"/>
        <item x="228"/>
        <item x="204"/>
        <item x="145"/>
        <item x="186"/>
        <item x="8"/>
        <item x="233"/>
        <item x="168"/>
        <item x="53"/>
        <item x="72"/>
        <item x="28"/>
        <item x="5"/>
        <item x="19"/>
        <item x="48"/>
        <item x="23"/>
        <item x="220"/>
        <item x="16"/>
        <item x="75"/>
        <item x="170"/>
        <item x="113"/>
        <item x="64"/>
        <item x="225"/>
        <item x="80"/>
        <item x="24"/>
        <item x="154"/>
        <item x="143"/>
        <item x="22"/>
        <item x="149"/>
        <item x="173"/>
        <item x="213"/>
        <item x="14"/>
        <item x="181"/>
        <item x="253"/>
        <item x="0"/>
        <item x="59"/>
        <item x="33"/>
        <item x="135"/>
        <item x="248"/>
        <item x="49"/>
        <item x="43"/>
        <item x="70"/>
        <item x="44"/>
        <item x="214"/>
        <item x="31"/>
        <item x="160"/>
        <item x="237"/>
        <item x="96"/>
        <item x="127"/>
        <item x="112"/>
        <item x="163"/>
        <item x="167"/>
        <item x="260"/>
        <item x="119"/>
        <item x="190"/>
        <item x="11"/>
        <item x="267"/>
        <item x="257"/>
        <item x="117"/>
        <item x="125"/>
        <item x="255"/>
        <item x="122"/>
        <item x="179"/>
        <item x="140"/>
        <item x="93"/>
        <item x="184"/>
        <item x="137"/>
        <item x="241"/>
        <item x="196"/>
        <item x="176"/>
        <item x="132"/>
        <item x="249"/>
        <item x="205"/>
        <item x="88"/>
        <item x="21"/>
        <item x="262"/>
        <item x="115"/>
        <item x="175"/>
        <item x="60"/>
        <item x="150"/>
        <item x="251"/>
        <item x="34"/>
        <item x="203"/>
        <item x="104"/>
        <item x="259"/>
        <item x="223"/>
        <item x="218"/>
        <item x="109"/>
        <item x="166"/>
        <item x="201"/>
        <item x="101"/>
        <item x="216"/>
        <item x="121"/>
        <item x="91"/>
        <item x="79"/>
        <item x="151"/>
        <item x="161"/>
        <item x="47"/>
        <item x="162"/>
        <item x="148"/>
        <item x="144"/>
        <item x="164"/>
        <item x="7"/>
        <item x="51"/>
        <item x="227"/>
        <item x="68"/>
        <item x="268"/>
        <item x="212"/>
        <item x="207"/>
        <item x="221"/>
        <item x="10"/>
        <item x="90"/>
        <item x="254"/>
        <item x="188"/>
        <item x="63"/>
        <item x="231"/>
        <item x="116"/>
        <item x="174"/>
        <item x="20"/>
        <item x="146"/>
        <item x="124"/>
        <item x="71"/>
        <item x="193"/>
        <item x="270"/>
        <item x="222"/>
        <item x="215"/>
        <item x="92"/>
        <item x="97"/>
        <item x="240"/>
        <item x="30"/>
        <item x="32"/>
        <item x="247"/>
        <item x="211"/>
        <item x="77"/>
        <item x="111"/>
        <item x="244"/>
        <item x="41"/>
        <item x="171"/>
        <item x="246"/>
        <item x="52"/>
        <item x="187"/>
        <item x="105"/>
        <item x="108"/>
        <item x="172"/>
        <item x="118"/>
        <item x="153"/>
        <item x="35"/>
        <item x="152"/>
        <item x="3"/>
        <item x="269"/>
        <item x="258"/>
        <item x="189"/>
        <item x="94"/>
        <item x="198"/>
        <item x="126"/>
        <item x="58"/>
        <item x="129"/>
        <item x="242"/>
        <item x="133"/>
        <item x="103"/>
        <item x="178"/>
        <item x="224"/>
        <item x="6"/>
        <item x="99"/>
        <item x="138"/>
        <item x="102"/>
        <item x="100"/>
        <item x="185"/>
        <item x="252"/>
        <item x="165"/>
        <item x="57"/>
        <item x="219"/>
        <item x="208"/>
        <item x="202"/>
        <item x="264"/>
        <item x="25"/>
        <item x="191"/>
        <item x="200"/>
        <item x="95"/>
        <item x="209"/>
        <item x="256"/>
        <item x="81"/>
        <item x="82"/>
        <item x="55"/>
        <item x="38"/>
        <item x="177"/>
        <item x="39"/>
        <item x="234"/>
        <item x="86"/>
        <item x="73"/>
        <item x="2"/>
        <item x="159"/>
        <item x="17"/>
        <item x="114"/>
        <item x="182"/>
        <item x="74"/>
        <item x="45"/>
        <item x="62"/>
        <item x="13"/>
        <item x="42"/>
        <item x="18"/>
        <item x="89"/>
        <item x="83"/>
        <item x="229"/>
        <item x="155"/>
        <item x="123"/>
        <item x="183"/>
        <item x="232"/>
        <item x="194"/>
        <item x="195"/>
        <item x="128"/>
        <item x="4"/>
        <item x="85"/>
        <item x="180"/>
        <item x="245"/>
        <item x="263"/>
        <item x="76"/>
        <item x="156"/>
        <item x="46"/>
        <item x="67"/>
        <item x="147"/>
        <item x="139"/>
        <item x="110"/>
        <item x="169"/>
        <item x="84"/>
        <item x="26"/>
        <item x="87"/>
        <item x="136"/>
        <item x="78"/>
        <item x="65"/>
        <item x="142"/>
        <item x="9"/>
        <item x="236"/>
        <item x="27"/>
        <item x="50"/>
        <item x="130"/>
        <item x="266"/>
        <item x="157"/>
        <item x="106"/>
        <item x="217"/>
        <item x="239"/>
        <item x="226"/>
        <item x="107"/>
        <item x="29"/>
        <item x="69"/>
        <item x="120"/>
        <item x="12"/>
        <item x="98"/>
        <item x="235"/>
        <item t="default"/>
      </items>
    </pivotField>
    <pivotField showAll="0"/>
    <pivotField showAll="0"/>
    <pivotField showAll="0"/>
    <pivotField axis="axisRow" showAll="0">
      <items count="5">
        <item x="3"/>
        <item x="1"/>
        <item x="0"/>
        <item x="2"/>
        <item t="default"/>
      </items>
    </pivotField>
    <pivotField showAll="0"/>
    <pivotField numFmtId="165" showAll="0"/>
    <pivotField dataField="1" numFmtId="165"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Total_Sales_GBP"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A73431-3543-47FE-90B1-C3281B468EE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7">
    <pivotField showAll="0"/>
    <pivotField numFmtId="164" showAll="0">
      <items count="272">
        <item x="15"/>
        <item x="250"/>
        <item x="210"/>
        <item x="230"/>
        <item x="36"/>
        <item x="66"/>
        <item x="192"/>
        <item x="238"/>
        <item x="131"/>
        <item x="243"/>
        <item x="54"/>
        <item x="158"/>
        <item x="265"/>
        <item x="56"/>
        <item x="141"/>
        <item x="134"/>
        <item x="1"/>
        <item x="206"/>
        <item x="261"/>
        <item x="40"/>
        <item x="37"/>
        <item x="61"/>
        <item x="199"/>
        <item x="197"/>
        <item x="228"/>
        <item x="204"/>
        <item x="145"/>
        <item x="186"/>
        <item x="8"/>
        <item x="233"/>
        <item x="168"/>
        <item x="53"/>
        <item x="72"/>
        <item x="28"/>
        <item x="5"/>
        <item x="19"/>
        <item x="48"/>
        <item x="23"/>
        <item x="220"/>
        <item x="16"/>
        <item x="75"/>
        <item x="170"/>
        <item x="113"/>
        <item x="64"/>
        <item x="225"/>
        <item x="80"/>
        <item x="24"/>
        <item x="154"/>
        <item x="143"/>
        <item x="22"/>
        <item x="149"/>
        <item x="173"/>
        <item x="213"/>
        <item x="14"/>
        <item x="181"/>
        <item x="253"/>
        <item x="0"/>
        <item x="59"/>
        <item x="33"/>
        <item x="135"/>
        <item x="248"/>
        <item x="49"/>
        <item x="43"/>
        <item x="70"/>
        <item x="44"/>
        <item x="214"/>
        <item x="31"/>
        <item x="160"/>
        <item x="237"/>
        <item x="96"/>
        <item x="127"/>
        <item x="112"/>
        <item x="163"/>
        <item x="167"/>
        <item x="260"/>
        <item x="119"/>
        <item x="190"/>
        <item x="11"/>
        <item x="267"/>
        <item x="257"/>
        <item x="117"/>
        <item x="125"/>
        <item x="255"/>
        <item x="122"/>
        <item x="179"/>
        <item x="140"/>
        <item x="93"/>
        <item x="184"/>
        <item x="137"/>
        <item x="241"/>
        <item x="196"/>
        <item x="176"/>
        <item x="132"/>
        <item x="249"/>
        <item x="205"/>
        <item x="88"/>
        <item x="21"/>
        <item x="262"/>
        <item x="115"/>
        <item x="175"/>
        <item x="60"/>
        <item x="150"/>
        <item x="251"/>
        <item x="34"/>
        <item x="203"/>
        <item x="104"/>
        <item x="259"/>
        <item x="223"/>
        <item x="218"/>
        <item x="109"/>
        <item x="166"/>
        <item x="201"/>
        <item x="101"/>
        <item x="216"/>
        <item x="121"/>
        <item x="91"/>
        <item x="79"/>
        <item x="151"/>
        <item x="161"/>
        <item x="47"/>
        <item x="162"/>
        <item x="148"/>
        <item x="144"/>
        <item x="164"/>
        <item x="7"/>
        <item x="51"/>
        <item x="227"/>
        <item x="68"/>
        <item x="268"/>
        <item x="212"/>
        <item x="207"/>
        <item x="221"/>
        <item x="10"/>
        <item x="90"/>
        <item x="254"/>
        <item x="188"/>
        <item x="63"/>
        <item x="231"/>
        <item x="116"/>
        <item x="174"/>
        <item x="20"/>
        <item x="146"/>
        <item x="124"/>
        <item x="71"/>
        <item x="193"/>
        <item x="270"/>
        <item x="222"/>
        <item x="215"/>
        <item x="92"/>
        <item x="97"/>
        <item x="240"/>
        <item x="30"/>
        <item x="32"/>
        <item x="247"/>
        <item x="211"/>
        <item x="77"/>
        <item x="111"/>
        <item x="244"/>
        <item x="41"/>
        <item x="171"/>
        <item x="246"/>
        <item x="52"/>
        <item x="187"/>
        <item x="105"/>
        <item x="108"/>
        <item x="172"/>
        <item x="118"/>
        <item x="153"/>
        <item x="35"/>
        <item x="152"/>
        <item x="3"/>
        <item x="269"/>
        <item x="258"/>
        <item x="189"/>
        <item x="94"/>
        <item x="198"/>
        <item x="126"/>
        <item x="58"/>
        <item x="129"/>
        <item x="242"/>
        <item x="133"/>
        <item x="103"/>
        <item x="178"/>
        <item x="224"/>
        <item x="6"/>
        <item x="99"/>
        <item x="138"/>
        <item x="102"/>
        <item x="100"/>
        <item x="185"/>
        <item x="252"/>
        <item x="165"/>
        <item x="57"/>
        <item x="219"/>
        <item x="208"/>
        <item x="202"/>
        <item x="264"/>
        <item x="25"/>
        <item x="191"/>
        <item x="200"/>
        <item x="95"/>
        <item x="209"/>
        <item x="256"/>
        <item x="81"/>
        <item x="82"/>
        <item x="55"/>
        <item x="38"/>
        <item x="177"/>
        <item x="39"/>
        <item x="234"/>
        <item x="86"/>
        <item x="73"/>
        <item x="2"/>
        <item x="159"/>
        <item x="17"/>
        <item x="114"/>
        <item x="182"/>
        <item x="74"/>
        <item x="45"/>
        <item x="62"/>
        <item x="13"/>
        <item x="42"/>
        <item x="18"/>
        <item x="89"/>
        <item x="83"/>
        <item x="229"/>
        <item x="155"/>
        <item x="123"/>
        <item x="183"/>
        <item x="232"/>
        <item x="194"/>
        <item x="195"/>
        <item x="128"/>
        <item x="4"/>
        <item x="85"/>
        <item x="180"/>
        <item x="245"/>
        <item x="263"/>
        <item x="76"/>
        <item x="156"/>
        <item x="46"/>
        <item x="67"/>
        <item x="147"/>
        <item x="139"/>
        <item x="110"/>
        <item x="169"/>
        <item x="84"/>
        <item x="26"/>
        <item x="87"/>
        <item x="136"/>
        <item x="78"/>
        <item x="65"/>
        <item x="142"/>
        <item x="9"/>
        <item x="236"/>
        <item x="27"/>
        <item x="50"/>
        <item x="130"/>
        <item x="266"/>
        <item x="157"/>
        <item x="106"/>
        <item x="217"/>
        <item x="239"/>
        <item x="226"/>
        <item x="107"/>
        <item x="29"/>
        <item x="69"/>
        <item x="120"/>
        <item x="12"/>
        <item x="98"/>
        <item x="235"/>
        <item t="default"/>
      </items>
    </pivotField>
    <pivotField showAll="0"/>
    <pivotField showAll="0"/>
    <pivotField showAll="0"/>
    <pivotField showAll="0">
      <items count="5">
        <item x="3"/>
        <item x="1"/>
        <item x="0"/>
        <item x="2"/>
        <item t="default"/>
      </items>
    </pivotField>
    <pivotField showAll="0"/>
    <pivotField numFmtId="165" showAll="0"/>
    <pivotField dataField="1" numFmtId="165" showAll="0"/>
    <pivotField axis="axisRow" showAll="0">
      <items count="5">
        <item x="1"/>
        <item x="2"/>
        <item x="0"/>
        <item x="3"/>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Items count="1">
    <i/>
  </colItems>
  <dataFields count="1">
    <dataField name="Sum of Total_Sales_GBP" fld="8"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85E111-7501-43B1-9C72-F5A3720E902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9" firstHeaderRow="1" firstDataRow="1" firstDataCol="1"/>
  <pivotFields count="17">
    <pivotField showAll="0"/>
    <pivotField numFmtId="164" showAll="0">
      <items count="272">
        <item x="15"/>
        <item x="250"/>
        <item x="210"/>
        <item x="230"/>
        <item x="36"/>
        <item x="66"/>
        <item x="192"/>
        <item x="238"/>
        <item x="131"/>
        <item x="243"/>
        <item x="54"/>
        <item x="158"/>
        <item x="265"/>
        <item x="56"/>
        <item x="141"/>
        <item x="134"/>
        <item x="1"/>
        <item x="206"/>
        <item x="261"/>
        <item x="40"/>
        <item x="37"/>
        <item x="61"/>
        <item x="199"/>
        <item x="197"/>
        <item x="228"/>
        <item x="204"/>
        <item x="145"/>
        <item x="186"/>
        <item x="8"/>
        <item x="233"/>
        <item x="168"/>
        <item x="53"/>
        <item x="72"/>
        <item x="28"/>
        <item x="5"/>
        <item x="19"/>
        <item x="48"/>
        <item x="23"/>
        <item x="220"/>
        <item x="16"/>
        <item x="75"/>
        <item x="170"/>
        <item x="113"/>
        <item x="64"/>
        <item x="225"/>
        <item x="80"/>
        <item x="24"/>
        <item x="154"/>
        <item x="143"/>
        <item x="22"/>
        <item x="149"/>
        <item x="173"/>
        <item x="213"/>
        <item x="14"/>
        <item x="181"/>
        <item x="253"/>
        <item x="0"/>
        <item x="59"/>
        <item x="33"/>
        <item x="135"/>
        <item x="248"/>
        <item x="49"/>
        <item x="43"/>
        <item x="70"/>
        <item x="44"/>
        <item x="214"/>
        <item x="31"/>
        <item x="160"/>
        <item x="237"/>
        <item x="96"/>
        <item x="127"/>
        <item x="112"/>
        <item x="163"/>
        <item x="167"/>
        <item x="260"/>
        <item x="119"/>
        <item x="190"/>
        <item x="11"/>
        <item x="267"/>
        <item x="257"/>
        <item x="117"/>
        <item x="125"/>
        <item x="255"/>
        <item x="122"/>
        <item x="179"/>
        <item x="140"/>
        <item x="93"/>
        <item x="184"/>
        <item x="137"/>
        <item x="241"/>
        <item x="196"/>
        <item x="176"/>
        <item x="132"/>
        <item x="249"/>
        <item x="205"/>
        <item x="88"/>
        <item x="21"/>
        <item x="262"/>
        <item x="115"/>
        <item x="175"/>
        <item x="60"/>
        <item x="150"/>
        <item x="251"/>
        <item x="34"/>
        <item x="203"/>
        <item x="104"/>
        <item x="259"/>
        <item x="223"/>
        <item x="218"/>
        <item x="109"/>
        <item x="166"/>
        <item x="201"/>
        <item x="101"/>
        <item x="216"/>
        <item x="121"/>
        <item x="91"/>
        <item x="79"/>
        <item x="151"/>
        <item x="161"/>
        <item x="47"/>
        <item x="162"/>
        <item x="148"/>
        <item x="144"/>
        <item x="164"/>
        <item x="7"/>
        <item x="51"/>
        <item x="227"/>
        <item x="68"/>
        <item x="268"/>
        <item x="212"/>
        <item x="207"/>
        <item x="221"/>
        <item x="10"/>
        <item x="90"/>
        <item x="254"/>
        <item x="188"/>
        <item x="63"/>
        <item x="231"/>
        <item x="116"/>
        <item x="174"/>
        <item x="20"/>
        <item x="146"/>
        <item x="124"/>
        <item x="71"/>
        <item x="193"/>
        <item x="270"/>
        <item x="222"/>
        <item x="215"/>
        <item x="92"/>
        <item x="97"/>
        <item x="240"/>
        <item x="30"/>
        <item x="32"/>
        <item x="247"/>
        <item x="211"/>
        <item x="77"/>
        <item x="111"/>
        <item x="244"/>
        <item x="41"/>
        <item x="171"/>
        <item x="246"/>
        <item x="52"/>
        <item x="187"/>
        <item x="105"/>
        <item x="108"/>
        <item x="172"/>
        <item x="118"/>
        <item x="153"/>
        <item x="35"/>
        <item x="152"/>
        <item x="3"/>
        <item x="269"/>
        <item x="258"/>
        <item x="189"/>
        <item x="94"/>
        <item x="198"/>
        <item x="126"/>
        <item x="58"/>
        <item x="129"/>
        <item x="242"/>
        <item x="133"/>
        <item x="103"/>
        <item x="178"/>
        <item x="224"/>
        <item x="6"/>
        <item x="99"/>
        <item x="138"/>
        <item x="102"/>
        <item x="100"/>
        <item x="185"/>
        <item x="252"/>
        <item x="165"/>
        <item x="57"/>
        <item x="219"/>
        <item x="208"/>
        <item x="202"/>
        <item x="264"/>
        <item x="25"/>
        <item x="191"/>
        <item x="200"/>
        <item x="95"/>
        <item x="209"/>
        <item x="256"/>
        <item x="81"/>
        <item x="82"/>
        <item x="55"/>
        <item x="38"/>
        <item x="177"/>
        <item x="39"/>
        <item x="234"/>
        <item x="86"/>
        <item x="73"/>
        <item x="2"/>
        <item x="159"/>
        <item x="17"/>
        <item x="114"/>
        <item x="182"/>
        <item x="74"/>
        <item x="45"/>
        <item x="62"/>
        <item x="13"/>
        <item x="42"/>
        <item x="18"/>
        <item x="89"/>
        <item x="83"/>
        <item x="229"/>
        <item x="155"/>
        <item x="123"/>
        <item x="183"/>
        <item x="232"/>
        <item x="194"/>
        <item x="195"/>
        <item x="128"/>
        <item x="4"/>
        <item x="85"/>
        <item x="180"/>
        <item x="245"/>
        <item x="263"/>
        <item x="76"/>
        <item x="156"/>
        <item x="46"/>
        <item x="67"/>
        <item x="147"/>
        <item x="139"/>
        <item x="110"/>
        <item x="169"/>
        <item x="84"/>
        <item x="26"/>
        <item x="87"/>
        <item x="136"/>
        <item x="78"/>
        <item x="65"/>
        <item x="142"/>
        <item x="9"/>
        <item x="236"/>
        <item x="27"/>
        <item x="50"/>
        <item x="130"/>
        <item x="266"/>
        <item x="157"/>
        <item x="106"/>
        <item x="217"/>
        <item x="239"/>
        <item x="226"/>
        <item x="107"/>
        <item x="29"/>
        <item x="69"/>
        <item x="120"/>
        <item x="12"/>
        <item x="98"/>
        <item x="235"/>
        <item t="default"/>
      </items>
    </pivotField>
    <pivotField showAll="0"/>
    <pivotField showAll="0"/>
    <pivotField axis="axisRow" showAll="0" measureFilter="1" sortType="descending">
      <items count="21">
        <item x="0"/>
        <item x="3"/>
        <item x="12"/>
        <item x="5"/>
        <item x="19"/>
        <item x="7"/>
        <item x="1"/>
        <item x="8"/>
        <item x="6"/>
        <item x="17"/>
        <item x="15"/>
        <item x="2"/>
        <item x="18"/>
        <item x="11"/>
        <item x="13"/>
        <item x="16"/>
        <item x="14"/>
        <item x="9"/>
        <item x="4"/>
        <item x="10"/>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 showAll="0"/>
    <pivotField numFmtId="165" showAll="0"/>
    <pivotField dataField="1" numFmtId="165"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v="7"/>
    </i>
    <i>
      <x v="9"/>
    </i>
    <i>
      <x v="19"/>
    </i>
    <i>
      <x v="14"/>
    </i>
    <i>
      <x v="13"/>
    </i>
    <i t="grand">
      <x/>
    </i>
  </rowItems>
  <colItems count="1">
    <i/>
  </colItems>
  <dataFields count="1">
    <dataField name="Sum of Total_Sales_GBP" fld="8"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1A729A-FC5F-42E2-A1EA-4814E84E58F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7">
    <pivotField showAll="0"/>
    <pivotField numFmtId="164" showAll="0">
      <items count="272">
        <item x="15"/>
        <item x="250"/>
        <item x="210"/>
        <item x="230"/>
        <item x="36"/>
        <item x="66"/>
        <item x="192"/>
        <item x="238"/>
        <item x="131"/>
        <item x="243"/>
        <item x="54"/>
        <item x="158"/>
        <item x="265"/>
        <item x="56"/>
        <item x="141"/>
        <item x="134"/>
        <item x="1"/>
        <item x="206"/>
        <item x="261"/>
        <item x="40"/>
        <item x="37"/>
        <item x="61"/>
        <item x="199"/>
        <item x="197"/>
        <item x="228"/>
        <item x="204"/>
        <item x="145"/>
        <item x="186"/>
        <item x="8"/>
        <item x="233"/>
        <item x="168"/>
        <item x="53"/>
        <item x="72"/>
        <item x="28"/>
        <item x="5"/>
        <item x="19"/>
        <item x="48"/>
        <item x="23"/>
        <item x="220"/>
        <item x="16"/>
        <item x="75"/>
        <item x="170"/>
        <item x="113"/>
        <item x="64"/>
        <item x="225"/>
        <item x="80"/>
        <item x="24"/>
        <item x="154"/>
        <item x="143"/>
        <item x="22"/>
        <item x="149"/>
        <item x="173"/>
        <item x="213"/>
        <item x="14"/>
        <item x="181"/>
        <item x="253"/>
        <item x="0"/>
        <item x="59"/>
        <item x="33"/>
        <item x="135"/>
        <item x="248"/>
        <item x="49"/>
        <item x="43"/>
        <item x="70"/>
        <item x="44"/>
        <item x="214"/>
        <item x="31"/>
        <item x="160"/>
        <item x="237"/>
        <item x="96"/>
        <item x="127"/>
        <item x="112"/>
        <item x="163"/>
        <item x="167"/>
        <item x="260"/>
        <item x="119"/>
        <item x="190"/>
        <item x="11"/>
        <item x="267"/>
        <item x="257"/>
        <item x="117"/>
        <item x="125"/>
        <item x="255"/>
        <item x="122"/>
        <item x="179"/>
        <item x="140"/>
        <item x="93"/>
        <item x="184"/>
        <item x="137"/>
        <item x="241"/>
        <item x="196"/>
        <item x="176"/>
        <item x="132"/>
        <item x="249"/>
        <item x="205"/>
        <item x="88"/>
        <item x="21"/>
        <item x="262"/>
        <item x="115"/>
        <item x="175"/>
        <item x="60"/>
        <item x="150"/>
        <item x="251"/>
        <item x="34"/>
        <item x="203"/>
        <item x="104"/>
        <item x="259"/>
        <item x="223"/>
        <item x="218"/>
        <item x="109"/>
        <item x="166"/>
        <item x="201"/>
        <item x="101"/>
        <item x="216"/>
        <item x="121"/>
        <item x="91"/>
        <item x="79"/>
        <item x="151"/>
        <item x="161"/>
        <item x="47"/>
        <item x="162"/>
        <item x="148"/>
        <item x="144"/>
        <item x="164"/>
        <item x="7"/>
        <item x="51"/>
        <item x="227"/>
        <item x="68"/>
        <item x="268"/>
        <item x="212"/>
        <item x="207"/>
        <item x="221"/>
        <item x="10"/>
        <item x="90"/>
        <item x="254"/>
        <item x="188"/>
        <item x="63"/>
        <item x="231"/>
        <item x="116"/>
        <item x="174"/>
        <item x="20"/>
        <item x="146"/>
        <item x="124"/>
        <item x="71"/>
        <item x="193"/>
        <item x="270"/>
        <item x="222"/>
        <item x="215"/>
        <item x="92"/>
        <item x="97"/>
        <item x="240"/>
        <item x="30"/>
        <item x="32"/>
        <item x="247"/>
        <item x="211"/>
        <item x="77"/>
        <item x="111"/>
        <item x="244"/>
        <item x="41"/>
        <item x="171"/>
        <item x="246"/>
        <item x="52"/>
        <item x="187"/>
        <item x="105"/>
        <item x="108"/>
        <item x="172"/>
        <item x="118"/>
        <item x="153"/>
        <item x="35"/>
        <item x="152"/>
        <item x="3"/>
        <item x="269"/>
        <item x="258"/>
        <item x="189"/>
        <item x="94"/>
        <item x="198"/>
        <item x="126"/>
        <item x="58"/>
        <item x="129"/>
        <item x="242"/>
        <item x="133"/>
        <item x="103"/>
        <item x="178"/>
        <item x="224"/>
        <item x="6"/>
        <item x="99"/>
        <item x="138"/>
        <item x="102"/>
        <item x="100"/>
        <item x="185"/>
        <item x="252"/>
        <item x="165"/>
        <item x="57"/>
        <item x="219"/>
        <item x="208"/>
        <item x="202"/>
        <item x="264"/>
        <item x="25"/>
        <item x="191"/>
        <item x="200"/>
        <item x="95"/>
        <item x="209"/>
        <item x="256"/>
        <item x="81"/>
        <item x="82"/>
        <item x="55"/>
        <item x="38"/>
        <item x="177"/>
        <item x="39"/>
        <item x="234"/>
        <item x="86"/>
        <item x="73"/>
        <item x="2"/>
        <item x="159"/>
        <item x="17"/>
        <item x="114"/>
        <item x="182"/>
        <item x="74"/>
        <item x="45"/>
        <item x="62"/>
        <item x="13"/>
        <item x="42"/>
        <item x="18"/>
        <item x="89"/>
        <item x="83"/>
        <item x="229"/>
        <item x="155"/>
        <item x="123"/>
        <item x="183"/>
        <item x="232"/>
        <item x="194"/>
        <item x="195"/>
        <item x="128"/>
        <item x="4"/>
        <item x="85"/>
        <item x="180"/>
        <item x="245"/>
        <item x="263"/>
        <item x="76"/>
        <item x="156"/>
        <item x="46"/>
        <item x="67"/>
        <item x="147"/>
        <item x="139"/>
        <item x="110"/>
        <item x="169"/>
        <item x="84"/>
        <item x="26"/>
        <item x="87"/>
        <item x="136"/>
        <item x="78"/>
        <item x="65"/>
        <item x="142"/>
        <item x="9"/>
        <item x="236"/>
        <item x="27"/>
        <item x="50"/>
        <item x="130"/>
        <item x="266"/>
        <item x="157"/>
        <item x="106"/>
        <item x="217"/>
        <item x="239"/>
        <item x="226"/>
        <item x="107"/>
        <item x="29"/>
        <item x="69"/>
        <item x="120"/>
        <item x="12"/>
        <item x="98"/>
        <item x="235"/>
        <item t="default"/>
      </items>
    </pivotField>
    <pivotField showAll="0"/>
    <pivotField showAll="0"/>
    <pivotField showAll="0"/>
    <pivotField axis="axisRow" showAll="0">
      <items count="5">
        <item x="3"/>
        <item x="1"/>
        <item x="0"/>
        <item x="2"/>
        <item t="default"/>
      </items>
    </pivotField>
    <pivotField showAll="0"/>
    <pivotField numFmtId="165" showAll="0"/>
    <pivotField dataField="1" numFmtId="165"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Total_Sales_GBP" fld="8"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A146F9-8684-42BC-85B6-3EEA10E082C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7">
    <pivotField showAll="0"/>
    <pivotField numFmtId="164" showAll="0">
      <items count="272">
        <item x="15"/>
        <item x="250"/>
        <item x="210"/>
        <item x="230"/>
        <item x="36"/>
        <item x="66"/>
        <item x="192"/>
        <item x="238"/>
        <item x="131"/>
        <item x="243"/>
        <item x="54"/>
        <item x="158"/>
        <item x="265"/>
        <item x="56"/>
        <item x="141"/>
        <item x="134"/>
        <item x="1"/>
        <item x="206"/>
        <item x="261"/>
        <item x="40"/>
        <item x="37"/>
        <item x="61"/>
        <item x="199"/>
        <item x="197"/>
        <item x="228"/>
        <item x="204"/>
        <item x="145"/>
        <item x="186"/>
        <item x="8"/>
        <item x="233"/>
        <item x="168"/>
        <item x="53"/>
        <item x="72"/>
        <item x="28"/>
        <item x="5"/>
        <item x="19"/>
        <item x="48"/>
        <item x="23"/>
        <item x="220"/>
        <item x="16"/>
        <item x="75"/>
        <item x="170"/>
        <item x="113"/>
        <item x="64"/>
        <item x="225"/>
        <item x="80"/>
        <item x="24"/>
        <item x="154"/>
        <item x="143"/>
        <item x="22"/>
        <item x="149"/>
        <item x="173"/>
        <item x="213"/>
        <item x="14"/>
        <item x="181"/>
        <item x="253"/>
        <item x="0"/>
        <item x="59"/>
        <item x="33"/>
        <item x="135"/>
        <item x="248"/>
        <item x="49"/>
        <item x="43"/>
        <item x="70"/>
        <item x="44"/>
        <item x="214"/>
        <item x="31"/>
        <item x="160"/>
        <item x="237"/>
        <item x="96"/>
        <item x="127"/>
        <item x="112"/>
        <item x="163"/>
        <item x="167"/>
        <item x="260"/>
        <item x="119"/>
        <item x="190"/>
        <item x="11"/>
        <item x="267"/>
        <item x="257"/>
        <item x="117"/>
        <item x="125"/>
        <item x="255"/>
        <item x="122"/>
        <item x="179"/>
        <item x="140"/>
        <item x="93"/>
        <item x="184"/>
        <item x="137"/>
        <item x="241"/>
        <item x="196"/>
        <item x="176"/>
        <item x="132"/>
        <item x="249"/>
        <item x="205"/>
        <item x="88"/>
        <item x="21"/>
        <item x="262"/>
        <item x="115"/>
        <item x="175"/>
        <item x="60"/>
        <item x="150"/>
        <item x="251"/>
        <item x="34"/>
        <item x="203"/>
        <item x="104"/>
        <item x="259"/>
        <item x="223"/>
        <item x="218"/>
        <item x="109"/>
        <item x="166"/>
        <item x="201"/>
        <item x="101"/>
        <item x="216"/>
        <item x="121"/>
        <item x="91"/>
        <item x="79"/>
        <item x="151"/>
        <item x="161"/>
        <item x="47"/>
        <item x="162"/>
        <item x="148"/>
        <item x="144"/>
        <item x="164"/>
        <item x="7"/>
        <item x="51"/>
        <item x="227"/>
        <item x="68"/>
        <item x="268"/>
        <item x="212"/>
        <item x="207"/>
        <item x="221"/>
        <item x="10"/>
        <item x="90"/>
        <item x="254"/>
        <item x="188"/>
        <item x="63"/>
        <item x="231"/>
        <item x="116"/>
        <item x="174"/>
        <item x="20"/>
        <item x="146"/>
        <item x="124"/>
        <item x="71"/>
        <item x="193"/>
        <item x="270"/>
        <item x="222"/>
        <item x="215"/>
        <item x="92"/>
        <item x="97"/>
        <item x="240"/>
        <item x="30"/>
        <item x="32"/>
        <item x="247"/>
        <item x="211"/>
        <item x="77"/>
        <item x="111"/>
        <item x="244"/>
        <item x="41"/>
        <item x="171"/>
        <item x="246"/>
        <item x="52"/>
        <item x="187"/>
        <item x="105"/>
        <item x="108"/>
        <item x="172"/>
        <item x="118"/>
        <item x="153"/>
        <item x="35"/>
        <item x="152"/>
        <item x="3"/>
        <item x="269"/>
        <item x="258"/>
        <item x="189"/>
        <item x="94"/>
        <item x="198"/>
        <item x="126"/>
        <item x="58"/>
        <item x="129"/>
        <item x="242"/>
        <item x="133"/>
        <item x="103"/>
        <item x="178"/>
        <item x="224"/>
        <item x="6"/>
        <item x="99"/>
        <item x="138"/>
        <item x="102"/>
        <item x="100"/>
        <item x="185"/>
        <item x="252"/>
        <item x="165"/>
        <item x="57"/>
        <item x="219"/>
        <item x="208"/>
        <item x="202"/>
        <item x="264"/>
        <item x="25"/>
        <item x="191"/>
        <item x="200"/>
        <item x="95"/>
        <item x="209"/>
        <item x="256"/>
        <item x="81"/>
        <item x="82"/>
        <item x="55"/>
        <item x="38"/>
        <item x="177"/>
        <item x="39"/>
        <item x="234"/>
        <item x="86"/>
        <item x="73"/>
        <item x="2"/>
        <item x="159"/>
        <item x="17"/>
        <item x="114"/>
        <item x="182"/>
        <item x="74"/>
        <item x="45"/>
        <item x="62"/>
        <item x="13"/>
        <item x="42"/>
        <item x="18"/>
        <item x="89"/>
        <item x="83"/>
        <item x="229"/>
        <item x="155"/>
        <item x="123"/>
        <item x="183"/>
        <item x="232"/>
        <item x="194"/>
        <item x="195"/>
        <item x="128"/>
        <item x="4"/>
        <item x="85"/>
        <item x="180"/>
        <item x="245"/>
        <item x="263"/>
        <item x="76"/>
        <item x="156"/>
        <item x="46"/>
        <item x="67"/>
        <item x="147"/>
        <item x="139"/>
        <item x="110"/>
        <item x="169"/>
        <item x="84"/>
        <item x="26"/>
        <item x="87"/>
        <item x="136"/>
        <item x="78"/>
        <item x="65"/>
        <item x="142"/>
        <item x="9"/>
        <item x="236"/>
        <item x="27"/>
        <item x="50"/>
        <item x="130"/>
        <item x="266"/>
        <item x="157"/>
        <item x="106"/>
        <item x="217"/>
        <item x="239"/>
        <item x="226"/>
        <item x="107"/>
        <item x="29"/>
        <item x="69"/>
        <item x="120"/>
        <item x="12"/>
        <item x="98"/>
        <item x="235"/>
        <item t="default"/>
      </items>
    </pivotField>
    <pivotField showAll="0"/>
    <pivotField showAll="0"/>
    <pivotField showAll="0"/>
    <pivotField showAll="0">
      <items count="5">
        <item x="3"/>
        <item x="1"/>
        <item x="0"/>
        <item x="2"/>
        <item t="default"/>
      </items>
    </pivotField>
    <pivotField showAll="0"/>
    <pivotField numFmtId="165" showAll="0"/>
    <pivotField dataField="1" numFmtId="165" showAll="0"/>
    <pivotField showAll="0"/>
    <pivotField showAll="0"/>
    <pivotField showAll="0"/>
    <pivotField axis="axisRow" showAll="0">
      <items count="4">
        <item x="2"/>
        <item x="0"/>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Items count="1">
    <i/>
  </colItems>
  <dataFields count="1">
    <dataField name="Sum of Total_Sales_GBP" fld="8"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12BFED-E37C-42E3-9B5A-D565B79DC2C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3" firstHeaderRow="1" firstDataRow="1" firstDataCol="1"/>
  <pivotFields count="17">
    <pivotField showAll="0"/>
    <pivotField axis="axisRow" numFmtId="164" showAll="0">
      <items count="272">
        <item x="15"/>
        <item x="250"/>
        <item x="210"/>
        <item x="230"/>
        <item x="36"/>
        <item x="66"/>
        <item x="192"/>
        <item x="238"/>
        <item x="131"/>
        <item x="243"/>
        <item x="54"/>
        <item x="158"/>
        <item x="265"/>
        <item x="56"/>
        <item x="141"/>
        <item x="134"/>
        <item x="1"/>
        <item x="206"/>
        <item x="261"/>
        <item x="40"/>
        <item x="37"/>
        <item x="61"/>
        <item x="199"/>
        <item x="197"/>
        <item x="228"/>
        <item x="204"/>
        <item x="145"/>
        <item x="186"/>
        <item x="8"/>
        <item x="233"/>
        <item x="168"/>
        <item x="53"/>
        <item x="72"/>
        <item x="28"/>
        <item x="5"/>
        <item x="19"/>
        <item x="48"/>
        <item x="23"/>
        <item x="220"/>
        <item x="16"/>
        <item x="75"/>
        <item x="170"/>
        <item x="113"/>
        <item x="64"/>
        <item x="225"/>
        <item x="80"/>
        <item x="24"/>
        <item x="154"/>
        <item x="143"/>
        <item x="22"/>
        <item x="149"/>
        <item x="173"/>
        <item x="213"/>
        <item x="14"/>
        <item x="181"/>
        <item x="253"/>
        <item x="0"/>
        <item x="59"/>
        <item x="33"/>
        <item x="135"/>
        <item x="248"/>
        <item x="49"/>
        <item x="43"/>
        <item x="70"/>
        <item x="44"/>
        <item x="214"/>
        <item x="31"/>
        <item x="160"/>
        <item x="237"/>
        <item x="96"/>
        <item x="127"/>
        <item x="112"/>
        <item x="163"/>
        <item x="167"/>
        <item x="260"/>
        <item x="119"/>
        <item x="190"/>
        <item x="11"/>
        <item x="267"/>
        <item x="257"/>
        <item x="117"/>
        <item x="125"/>
        <item x="255"/>
        <item x="122"/>
        <item x="179"/>
        <item x="140"/>
        <item x="93"/>
        <item x="184"/>
        <item x="137"/>
        <item x="241"/>
        <item x="196"/>
        <item x="176"/>
        <item x="132"/>
        <item x="249"/>
        <item x="205"/>
        <item x="88"/>
        <item x="21"/>
        <item x="262"/>
        <item x="115"/>
        <item x="175"/>
        <item x="60"/>
        <item x="150"/>
        <item x="251"/>
        <item x="34"/>
        <item x="203"/>
        <item x="104"/>
        <item x="259"/>
        <item x="223"/>
        <item x="218"/>
        <item x="109"/>
        <item x="166"/>
        <item x="201"/>
        <item x="101"/>
        <item x="216"/>
        <item x="121"/>
        <item x="91"/>
        <item x="79"/>
        <item x="151"/>
        <item x="161"/>
        <item x="47"/>
        <item x="162"/>
        <item x="148"/>
        <item x="144"/>
        <item x="164"/>
        <item x="7"/>
        <item x="51"/>
        <item x="227"/>
        <item x="68"/>
        <item x="268"/>
        <item x="212"/>
        <item x="207"/>
        <item x="221"/>
        <item x="10"/>
        <item x="90"/>
        <item x="254"/>
        <item x="188"/>
        <item x="63"/>
        <item x="231"/>
        <item x="116"/>
        <item x="174"/>
        <item x="20"/>
        <item x="146"/>
        <item x="124"/>
        <item x="71"/>
        <item x="193"/>
        <item x="270"/>
        <item x="222"/>
        <item x="215"/>
        <item x="92"/>
        <item x="97"/>
        <item x="240"/>
        <item x="30"/>
        <item x="32"/>
        <item x="247"/>
        <item x="211"/>
        <item x="77"/>
        <item x="111"/>
        <item x="244"/>
        <item x="41"/>
        <item x="171"/>
        <item x="246"/>
        <item x="52"/>
        <item x="187"/>
        <item x="105"/>
        <item x="108"/>
        <item x="172"/>
        <item x="118"/>
        <item x="153"/>
        <item x="35"/>
        <item x="152"/>
        <item x="3"/>
        <item x="269"/>
        <item x="258"/>
        <item x="189"/>
        <item x="94"/>
        <item x="198"/>
        <item x="126"/>
        <item x="58"/>
        <item x="129"/>
        <item x="242"/>
        <item x="133"/>
        <item x="103"/>
        <item x="178"/>
        <item x="224"/>
        <item x="6"/>
        <item x="99"/>
        <item x="138"/>
        <item x="102"/>
        <item x="100"/>
        <item x="185"/>
        <item x="252"/>
        <item x="165"/>
        <item x="57"/>
        <item x="219"/>
        <item x="208"/>
        <item x="202"/>
        <item x="264"/>
        <item x="25"/>
        <item x="191"/>
        <item x="200"/>
        <item x="95"/>
        <item x="209"/>
        <item x="256"/>
        <item x="81"/>
        <item x="82"/>
        <item x="55"/>
        <item x="38"/>
        <item x="177"/>
        <item x="39"/>
        <item x="234"/>
        <item x="86"/>
        <item x="73"/>
        <item x="2"/>
        <item x="159"/>
        <item x="17"/>
        <item x="114"/>
        <item x="182"/>
        <item x="74"/>
        <item x="45"/>
        <item x="62"/>
        <item x="13"/>
        <item x="42"/>
        <item x="18"/>
        <item x="89"/>
        <item x="83"/>
        <item x="229"/>
        <item x="155"/>
        <item x="123"/>
        <item x="183"/>
        <item x="232"/>
        <item x="194"/>
        <item x="195"/>
        <item x="128"/>
        <item x="4"/>
        <item x="85"/>
        <item x="180"/>
        <item x="245"/>
        <item x="263"/>
        <item x="76"/>
        <item x="156"/>
        <item x="46"/>
        <item x="67"/>
        <item x="147"/>
        <item x="139"/>
        <item x="110"/>
        <item x="169"/>
        <item x="84"/>
        <item x="26"/>
        <item x="87"/>
        <item x="136"/>
        <item x="78"/>
        <item x="65"/>
        <item x="142"/>
        <item x="9"/>
        <item x="236"/>
        <item x="27"/>
        <item x="50"/>
        <item x="130"/>
        <item x="266"/>
        <item x="157"/>
        <item x="106"/>
        <item x="217"/>
        <item x="239"/>
        <item x="226"/>
        <item x="107"/>
        <item x="29"/>
        <item x="69"/>
        <item x="120"/>
        <item x="12"/>
        <item x="98"/>
        <item x="235"/>
        <item t="default"/>
      </items>
    </pivotField>
    <pivotField showAll="0"/>
    <pivotField showAll="0"/>
    <pivotField showAll="0"/>
    <pivotField showAll="0">
      <items count="5">
        <item x="3"/>
        <item x="1"/>
        <item x="0"/>
        <item x="2"/>
        <item t="default"/>
      </items>
    </pivotField>
    <pivotField showAll="0"/>
    <pivotField numFmtId="165" showAll="0"/>
    <pivotField dataField="1" numFmtId="165"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6"/>
    <field x="15"/>
    <field x="1"/>
  </rowFields>
  <rowItems count="10">
    <i>
      <x v="1"/>
    </i>
    <i>
      <x v="2"/>
    </i>
    <i>
      <x v="3"/>
    </i>
    <i>
      <x v="4"/>
    </i>
    <i>
      <x v="5"/>
    </i>
    <i>
      <x v="6"/>
    </i>
    <i>
      <x v="7"/>
    </i>
    <i>
      <x v="8"/>
    </i>
    <i>
      <x v="9"/>
    </i>
    <i t="grand">
      <x/>
    </i>
  </rowItems>
  <colItems count="1">
    <i/>
  </colItems>
  <dataFields count="1">
    <dataField name="Sum of Total_Sales_GBP" fld="8"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5A4B40-CE57-4C90-96DF-7BF759EC2F1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7">
    <pivotField showAll="0"/>
    <pivotField numFmtId="164" showAll="0">
      <items count="272">
        <item x="15"/>
        <item x="250"/>
        <item x="210"/>
        <item x="230"/>
        <item x="36"/>
        <item x="66"/>
        <item x="192"/>
        <item x="238"/>
        <item x="131"/>
        <item x="243"/>
        <item x="54"/>
        <item x="158"/>
        <item x="265"/>
        <item x="56"/>
        <item x="141"/>
        <item x="134"/>
        <item x="1"/>
        <item x="206"/>
        <item x="261"/>
        <item x="40"/>
        <item x="37"/>
        <item x="61"/>
        <item x="199"/>
        <item x="197"/>
        <item x="228"/>
        <item x="204"/>
        <item x="145"/>
        <item x="186"/>
        <item x="8"/>
        <item x="233"/>
        <item x="168"/>
        <item x="53"/>
        <item x="72"/>
        <item x="28"/>
        <item x="5"/>
        <item x="19"/>
        <item x="48"/>
        <item x="23"/>
        <item x="220"/>
        <item x="16"/>
        <item x="75"/>
        <item x="170"/>
        <item x="113"/>
        <item x="64"/>
        <item x="225"/>
        <item x="80"/>
        <item x="24"/>
        <item x="154"/>
        <item x="143"/>
        <item x="22"/>
        <item x="149"/>
        <item x="173"/>
        <item x="213"/>
        <item x="14"/>
        <item x="181"/>
        <item x="253"/>
        <item x="0"/>
        <item x="59"/>
        <item x="33"/>
        <item x="135"/>
        <item x="248"/>
        <item x="49"/>
        <item x="43"/>
        <item x="70"/>
        <item x="44"/>
        <item x="214"/>
        <item x="31"/>
        <item x="160"/>
        <item x="237"/>
        <item x="96"/>
        <item x="127"/>
        <item x="112"/>
        <item x="163"/>
        <item x="167"/>
        <item x="260"/>
        <item x="119"/>
        <item x="190"/>
        <item x="11"/>
        <item x="267"/>
        <item x="257"/>
        <item x="117"/>
        <item x="125"/>
        <item x="255"/>
        <item x="122"/>
        <item x="179"/>
        <item x="140"/>
        <item x="93"/>
        <item x="184"/>
        <item x="137"/>
        <item x="241"/>
        <item x="196"/>
        <item x="176"/>
        <item x="132"/>
        <item x="249"/>
        <item x="205"/>
        <item x="88"/>
        <item x="21"/>
        <item x="262"/>
        <item x="115"/>
        <item x="175"/>
        <item x="60"/>
        <item x="150"/>
        <item x="251"/>
        <item x="34"/>
        <item x="203"/>
        <item x="104"/>
        <item x="259"/>
        <item x="223"/>
        <item x="218"/>
        <item x="109"/>
        <item x="166"/>
        <item x="201"/>
        <item x="101"/>
        <item x="216"/>
        <item x="121"/>
        <item x="91"/>
        <item x="79"/>
        <item x="151"/>
        <item x="161"/>
        <item x="47"/>
        <item x="162"/>
        <item x="148"/>
        <item x="144"/>
        <item x="164"/>
        <item x="7"/>
        <item x="51"/>
        <item x="227"/>
        <item x="68"/>
        <item x="268"/>
        <item x="212"/>
        <item x="207"/>
        <item x="221"/>
        <item x="10"/>
        <item x="90"/>
        <item x="254"/>
        <item x="188"/>
        <item x="63"/>
        <item x="231"/>
        <item x="116"/>
        <item x="174"/>
        <item x="20"/>
        <item x="146"/>
        <item x="124"/>
        <item x="71"/>
        <item x="193"/>
        <item x="270"/>
        <item x="222"/>
        <item x="215"/>
        <item x="92"/>
        <item x="97"/>
        <item x="240"/>
        <item x="30"/>
        <item x="32"/>
        <item x="247"/>
        <item x="211"/>
        <item x="77"/>
        <item x="111"/>
        <item x="244"/>
        <item x="41"/>
        <item x="171"/>
        <item x="246"/>
        <item x="52"/>
        <item x="187"/>
        <item x="105"/>
        <item x="108"/>
        <item x="172"/>
        <item x="118"/>
        <item x="153"/>
        <item x="35"/>
        <item x="152"/>
        <item x="3"/>
        <item x="269"/>
        <item x="258"/>
        <item x="189"/>
        <item x="94"/>
        <item x="198"/>
        <item x="126"/>
        <item x="58"/>
        <item x="129"/>
        <item x="242"/>
        <item x="133"/>
        <item x="103"/>
        <item x="178"/>
        <item x="224"/>
        <item x="6"/>
        <item x="99"/>
        <item x="138"/>
        <item x="102"/>
        <item x="100"/>
        <item x="185"/>
        <item x="252"/>
        <item x="165"/>
        <item x="57"/>
        <item x="219"/>
        <item x="208"/>
        <item x="202"/>
        <item x="264"/>
        <item x="25"/>
        <item x="191"/>
        <item x="200"/>
        <item x="95"/>
        <item x="209"/>
        <item x="256"/>
        <item x="81"/>
        <item x="82"/>
        <item x="55"/>
        <item x="38"/>
        <item x="177"/>
        <item x="39"/>
        <item x="234"/>
        <item x="86"/>
        <item x="73"/>
        <item x="2"/>
        <item x="159"/>
        <item x="17"/>
        <item x="114"/>
        <item x="182"/>
        <item x="74"/>
        <item x="45"/>
        <item x="62"/>
        <item x="13"/>
        <item x="42"/>
        <item x="18"/>
        <item x="89"/>
        <item x="83"/>
        <item x="229"/>
        <item x="155"/>
        <item x="123"/>
        <item x="183"/>
        <item x="232"/>
        <item x="194"/>
        <item x="195"/>
        <item x="128"/>
        <item x="4"/>
        <item x="85"/>
        <item x="180"/>
        <item x="245"/>
        <item x="263"/>
        <item x="76"/>
        <item x="156"/>
        <item x="46"/>
        <item x="67"/>
        <item x="147"/>
        <item x="139"/>
        <item x="110"/>
        <item x="169"/>
        <item x="84"/>
        <item x="26"/>
        <item x="87"/>
        <item x="136"/>
        <item x="78"/>
        <item x="65"/>
        <item x="142"/>
        <item x="9"/>
        <item x="236"/>
        <item x="27"/>
        <item x="50"/>
        <item x="130"/>
        <item x="266"/>
        <item x="157"/>
        <item x="106"/>
        <item x="217"/>
        <item x="239"/>
        <item x="226"/>
        <item x="107"/>
        <item x="29"/>
        <item x="69"/>
        <item x="120"/>
        <item x="12"/>
        <item x="98"/>
        <item x="235"/>
        <item t="default"/>
      </items>
    </pivotField>
    <pivotField showAll="0"/>
    <pivotField axis="axisRow" showAll="0">
      <items count="3">
        <item x="1"/>
        <item x="0"/>
        <item t="default"/>
      </items>
    </pivotField>
    <pivotField showAll="0"/>
    <pivotField showAll="0">
      <items count="5">
        <item x="3"/>
        <item x="1"/>
        <item x="0"/>
        <item x="2"/>
        <item t="default"/>
      </items>
    </pivotField>
    <pivotField showAll="0"/>
    <pivotField numFmtId="165" showAll="0"/>
    <pivotField numFmtId="165"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3">
    <i>
      <x/>
    </i>
    <i>
      <x v="1"/>
    </i>
    <i t="grand">
      <x/>
    </i>
  </rowItems>
  <colItems count="1">
    <i/>
  </colItems>
  <dataFields count="1">
    <dataField name="Average of Wait_Time_Minutes" fld="11" subtotal="average" baseField="3"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8062BD-8252-4C76-A3D5-A95FDC24B7A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numFmtId="164" showAll="0">
      <items count="272">
        <item x="15"/>
        <item x="250"/>
        <item x="210"/>
        <item x="230"/>
        <item x="36"/>
        <item x="66"/>
        <item x="192"/>
        <item x="238"/>
        <item x="131"/>
        <item x="243"/>
        <item x="54"/>
        <item x="158"/>
        <item x="265"/>
        <item x="56"/>
        <item x="141"/>
        <item x="134"/>
        <item x="1"/>
        <item x="206"/>
        <item x="261"/>
        <item x="40"/>
        <item x="37"/>
        <item x="61"/>
        <item x="199"/>
        <item x="197"/>
        <item x="228"/>
        <item x="204"/>
        <item x="145"/>
        <item x="186"/>
        <item x="8"/>
        <item x="233"/>
        <item x="168"/>
        <item x="53"/>
        <item x="72"/>
        <item x="28"/>
        <item x="5"/>
        <item x="19"/>
        <item x="48"/>
        <item x="23"/>
        <item x="220"/>
        <item x="16"/>
        <item x="75"/>
        <item x="170"/>
        <item x="113"/>
        <item x="64"/>
        <item x="225"/>
        <item x="80"/>
        <item x="24"/>
        <item x="154"/>
        <item x="143"/>
        <item x="22"/>
        <item x="149"/>
        <item x="173"/>
        <item x="213"/>
        <item x="14"/>
        <item x="181"/>
        <item x="253"/>
        <item x="0"/>
        <item x="59"/>
        <item x="33"/>
        <item x="135"/>
        <item x="248"/>
        <item x="49"/>
        <item x="43"/>
        <item x="70"/>
        <item x="44"/>
        <item x="214"/>
        <item x="31"/>
        <item x="160"/>
        <item x="237"/>
        <item x="96"/>
        <item x="127"/>
        <item x="112"/>
        <item x="163"/>
        <item x="167"/>
        <item x="260"/>
        <item x="119"/>
        <item x="190"/>
        <item x="11"/>
        <item x="267"/>
        <item x="257"/>
        <item x="117"/>
        <item x="125"/>
        <item x="255"/>
        <item x="122"/>
        <item x="179"/>
        <item x="140"/>
        <item x="93"/>
        <item x="184"/>
        <item x="137"/>
        <item x="241"/>
        <item x="196"/>
        <item x="176"/>
        <item x="132"/>
        <item x="249"/>
        <item x="205"/>
        <item x="88"/>
        <item x="21"/>
        <item x="262"/>
        <item x="115"/>
        <item x="175"/>
        <item x="60"/>
        <item x="150"/>
        <item x="251"/>
        <item x="34"/>
        <item x="203"/>
        <item x="104"/>
        <item x="259"/>
        <item x="223"/>
        <item x="218"/>
        <item x="109"/>
        <item x="166"/>
        <item x="201"/>
        <item x="101"/>
        <item x="216"/>
        <item x="121"/>
        <item x="91"/>
        <item x="79"/>
        <item x="151"/>
        <item x="161"/>
        <item x="47"/>
        <item x="162"/>
        <item x="148"/>
        <item x="144"/>
        <item x="164"/>
        <item x="7"/>
        <item x="51"/>
        <item x="227"/>
        <item x="68"/>
        <item x="268"/>
        <item x="212"/>
        <item x="207"/>
        <item x="221"/>
        <item x="10"/>
        <item x="90"/>
        <item x="254"/>
        <item x="188"/>
        <item x="63"/>
        <item x="231"/>
        <item x="116"/>
        <item x="174"/>
        <item x="20"/>
        <item x="146"/>
        <item x="124"/>
        <item x="71"/>
        <item x="193"/>
        <item x="270"/>
        <item x="222"/>
        <item x="215"/>
        <item x="92"/>
        <item x="97"/>
        <item x="240"/>
        <item x="30"/>
        <item x="32"/>
        <item x="247"/>
        <item x="211"/>
        <item x="77"/>
        <item x="111"/>
        <item x="244"/>
        <item x="41"/>
        <item x="171"/>
        <item x="246"/>
        <item x="52"/>
        <item x="187"/>
        <item x="105"/>
        <item x="108"/>
        <item x="172"/>
        <item x="118"/>
        <item x="153"/>
        <item x="35"/>
        <item x="152"/>
        <item x="3"/>
        <item x="269"/>
        <item x="258"/>
        <item x="189"/>
        <item x="94"/>
        <item x="198"/>
        <item x="126"/>
        <item x="58"/>
        <item x="129"/>
        <item x="242"/>
        <item x="133"/>
        <item x="103"/>
        <item x="178"/>
        <item x="224"/>
        <item x="6"/>
        <item x="99"/>
        <item x="138"/>
        <item x="102"/>
        <item x="100"/>
        <item x="185"/>
        <item x="252"/>
        <item x="165"/>
        <item x="57"/>
        <item x="219"/>
        <item x="208"/>
        <item x="202"/>
        <item x="264"/>
        <item x="25"/>
        <item x="191"/>
        <item x="200"/>
        <item x="95"/>
        <item x="209"/>
        <item x="256"/>
        <item x="81"/>
        <item x="82"/>
        <item x="55"/>
        <item x="38"/>
        <item x="177"/>
        <item x="39"/>
        <item x="234"/>
        <item x="86"/>
        <item x="73"/>
        <item x="2"/>
        <item x="159"/>
        <item x="17"/>
        <item x="114"/>
        <item x="182"/>
        <item x="74"/>
        <item x="45"/>
        <item x="62"/>
        <item x="13"/>
        <item x="42"/>
        <item x="18"/>
        <item x="89"/>
        <item x="83"/>
        <item x="229"/>
        <item x="155"/>
        <item x="123"/>
        <item x="183"/>
        <item x="232"/>
        <item x="194"/>
        <item x="195"/>
        <item x="128"/>
        <item x="4"/>
        <item x="85"/>
        <item x="180"/>
        <item x="245"/>
        <item x="263"/>
        <item x="76"/>
        <item x="156"/>
        <item x="46"/>
        <item x="67"/>
        <item x="147"/>
        <item x="139"/>
        <item x="110"/>
        <item x="169"/>
        <item x="84"/>
        <item x="26"/>
        <item x="87"/>
        <item x="136"/>
        <item x="78"/>
        <item x="65"/>
        <item x="142"/>
        <item x="9"/>
        <item x="236"/>
        <item x="27"/>
        <item x="50"/>
        <item x="130"/>
        <item x="266"/>
        <item x="157"/>
        <item x="106"/>
        <item x="217"/>
        <item x="239"/>
        <item x="226"/>
        <item x="107"/>
        <item x="29"/>
        <item x="69"/>
        <item x="120"/>
        <item x="12"/>
        <item x="98"/>
        <item x="235"/>
        <item t="default"/>
      </items>
    </pivotField>
    <pivotField showAll="0"/>
    <pivotField showAll="0"/>
    <pivotField showAll="0"/>
    <pivotField showAll="0">
      <items count="5">
        <item x="3"/>
        <item x="1"/>
        <item x="0"/>
        <item x="2"/>
        <item t="default"/>
      </items>
    </pivotField>
    <pivotField showAll="0"/>
    <pivotField numFmtId="165" showAll="0"/>
    <pivotField dataField="1" numFmtId="165"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Total_Sales_GBP"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F3372A7-F2A5-40CC-8847-48FD0DE1BB6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numFmtId="164" showAll="0">
      <items count="272">
        <item x="15"/>
        <item x="250"/>
        <item x="210"/>
        <item x="230"/>
        <item x="36"/>
        <item x="66"/>
        <item x="192"/>
        <item x="238"/>
        <item x="131"/>
        <item x="243"/>
        <item x="54"/>
        <item x="158"/>
        <item x="265"/>
        <item x="56"/>
        <item x="141"/>
        <item x="134"/>
        <item x="1"/>
        <item x="206"/>
        <item x="261"/>
        <item x="40"/>
        <item x="37"/>
        <item x="61"/>
        <item x="199"/>
        <item x="197"/>
        <item x="228"/>
        <item x="204"/>
        <item x="145"/>
        <item x="186"/>
        <item x="8"/>
        <item x="233"/>
        <item x="168"/>
        <item x="53"/>
        <item x="72"/>
        <item x="28"/>
        <item x="5"/>
        <item x="19"/>
        <item x="48"/>
        <item x="23"/>
        <item x="220"/>
        <item x="16"/>
        <item x="75"/>
        <item x="170"/>
        <item x="113"/>
        <item x="64"/>
        <item x="225"/>
        <item x="80"/>
        <item x="24"/>
        <item x="154"/>
        <item x="143"/>
        <item x="22"/>
        <item x="149"/>
        <item x="173"/>
        <item x="213"/>
        <item x="14"/>
        <item x="181"/>
        <item x="253"/>
        <item x="0"/>
        <item x="59"/>
        <item x="33"/>
        <item x="135"/>
        <item x="248"/>
        <item x="49"/>
        <item x="43"/>
        <item x="70"/>
        <item x="44"/>
        <item x="214"/>
        <item x="31"/>
        <item x="160"/>
        <item x="237"/>
        <item x="96"/>
        <item x="127"/>
        <item x="112"/>
        <item x="163"/>
        <item x="167"/>
        <item x="260"/>
        <item x="119"/>
        <item x="190"/>
        <item x="11"/>
        <item x="267"/>
        <item x="257"/>
        <item x="117"/>
        <item x="125"/>
        <item x="255"/>
        <item x="122"/>
        <item x="179"/>
        <item x="140"/>
        <item x="93"/>
        <item x="184"/>
        <item x="137"/>
        <item x="241"/>
        <item x="196"/>
        <item x="176"/>
        <item x="132"/>
        <item x="249"/>
        <item x="205"/>
        <item x="88"/>
        <item x="21"/>
        <item x="262"/>
        <item x="115"/>
        <item x="175"/>
        <item x="60"/>
        <item x="150"/>
        <item x="251"/>
        <item x="34"/>
        <item x="203"/>
        <item x="104"/>
        <item x="259"/>
        <item x="223"/>
        <item x="218"/>
        <item x="109"/>
        <item x="166"/>
        <item x="201"/>
        <item x="101"/>
        <item x="216"/>
        <item x="121"/>
        <item x="91"/>
        <item x="79"/>
        <item x="151"/>
        <item x="161"/>
        <item x="47"/>
        <item x="162"/>
        <item x="148"/>
        <item x="144"/>
        <item x="164"/>
        <item x="7"/>
        <item x="51"/>
        <item x="227"/>
        <item x="68"/>
        <item x="268"/>
        <item x="212"/>
        <item x="207"/>
        <item x="221"/>
        <item x="10"/>
        <item x="90"/>
        <item x="254"/>
        <item x="188"/>
        <item x="63"/>
        <item x="231"/>
        <item x="116"/>
        <item x="174"/>
        <item x="20"/>
        <item x="146"/>
        <item x="124"/>
        <item x="71"/>
        <item x="193"/>
        <item x="270"/>
        <item x="222"/>
        <item x="215"/>
        <item x="92"/>
        <item x="97"/>
        <item x="240"/>
        <item x="30"/>
        <item x="32"/>
        <item x="247"/>
        <item x="211"/>
        <item x="77"/>
        <item x="111"/>
        <item x="244"/>
        <item x="41"/>
        <item x="171"/>
        <item x="246"/>
        <item x="52"/>
        <item x="187"/>
        <item x="105"/>
        <item x="108"/>
        <item x="172"/>
        <item x="118"/>
        <item x="153"/>
        <item x="35"/>
        <item x="152"/>
        <item x="3"/>
        <item x="269"/>
        <item x="258"/>
        <item x="189"/>
        <item x="94"/>
        <item x="198"/>
        <item x="126"/>
        <item x="58"/>
        <item x="129"/>
        <item x="242"/>
        <item x="133"/>
        <item x="103"/>
        <item x="178"/>
        <item x="224"/>
        <item x="6"/>
        <item x="99"/>
        <item x="138"/>
        <item x="102"/>
        <item x="100"/>
        <item x="185"/>
        <item x="252"/>
        <item x="165"/>
        <item x="57"/>
        <item x="219"/>
        <item x="208"/>
        <item x="202"/>
        <item x="264"/>
        <item x="25"/>
        <item x="191"/>
        <item x="200"/>
        <item x="95"/>
        <item x="209"/>
        <item x="256"/>
        <item x="81"/>
        <item x="82"/>
        <item x="55"/>
        <item x="38"/>
        <item x="177"/>
        <item x="39"/>
        <item x="234"/>
        <item x="86"/>
        <item x="73"/>
        <item x="2"/>
        <item x="159"/>
        <item x="17"/>
        <item x="114"/>
        <item x="182"/>
        <item x="74"/>
        <item x="45"/>
        <item x="62"/>
        <item x="13"/>
        <item x="42"/>
        <item x="18"/>
        <item x="89"/>
        <item x="83"/>
        <item x="229"/>
        <item x="155"/>
        <item x="123"/>
        <item x="183"/>
        <item x="232"/>
        <item x="194"/>
        <item x="195"/>
        <item x="128"/>
        <item x="4"/>
        <item x="85"/>
        <item x="180"/>
        <item x="245"/>
        <item x="263"/>
        <item x="76"/>
        <item x="156"/>
        <item x="46"/>
        <item x="67"/>
        <item x="147"/>
        <item x="139"/>
        <item x="110"/>
        <item x="169"/>
        <item x="84"/>
        <item x="26"/>
        <item x="87"/>
        <item x="136"/>
        <item x="78"/>
        <item x="65"/>
        <item x="142"/>
        <item x="9"/>
        <item x="236"/>
        <item x="27"/>
        <item x="50"/>
        <item x="130"/>
        <item x="266"/>
        <item x="157"/>
        <item x="106"/>
        <item x="217"/>
        <item x="239"/>
        <item x="226"/>
        <item x="107"/>
        <item x="29"/>
        <item x="69"/>
        <item x="120"/>
        <item x="12"/>
        <item x="98"/>
        <item x="235"/>
        <item t="default"/>
      </items>
    </pivotField>
    <pivotField showAll="0"/>
    <pivotField showAll="0"/>
    <pivotField showAll="0"/>
    <pivotField showAll="0">
      <items count="5">
        <item x="3"/>
        <item x="1"/>
        <item x="0"/>
        <item x="2"/>
        <item t="default"/>
      </items>
    </pivotField>
    <pivotField showAll="0"/>
    <pivotField numFmtId="165" showAll="0"/>
    <pivotField dataField="1" numFmtId="165"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Total_Sales_GBP"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9B91C38-2460-4B8A-A8CC-684B57EFF9B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pivotField numFmtId="164" showAll="0">
      <items count="272">
        <item x="15"/>
        <item x="250"/>
        <item x="210"/>
        <item x="230"/>
        <item x="36"/>
        <item x="66"/>
        <item x="192"/>
        <item x="238"/>
        <item x="131"/>
        <item x="243"/>
        <item x="54"/>
        <item x="158"/>
        <item x="265"/>
        <item x="56"/>
        <item x="141"/>
        <item x="134"/>
        <item x="1"/>
        <item x="206"/>
        <item x="261"/>
        <item x="40"/>
        <item x="37"/>
        <item x="61"/>
        <item x="199"/>
        <item x="197"/>
        <item x="228"/>
        <item x="204"/>
        <item x="145"/>
        <item x="186"/>
        <item x="8"/>
        <item x="233"/>
        <item x="168"/>
        <item x="53"/>
        <item x="72"/>
        <item x="28"/>
        <item x="5"/>
        <item x="19"/>
        <item x="48"/>
        <item x="23"/>
        <item x="220"/>
        <item x="16"/>
        <item x="75"/>
        <item x="170"/>
        <item x="113"/>
        <item x="64"/>
        <item x="225"/>
        <item x="80"/>
        <item x="24"/>
        <item x="154"/>
        <item x="143"/>
        <item x="22"/>
        <item x="149"/>
        <item x="173"/>
        <item x="213"/>
        <item x="14"/>
        <item x="181"/>
        <item x="253"/>
        <item x="0"/>
        <item x="59"/>
        <item x="33"/>
        <item x="135"/>
        <item x="248"/>
        <item x="49"/>
        <item x="43"/>
        <item x="70"/>
        <item x="44"/>
        <item x="214"/>
        <item x="31"/>
        <item x="160"/>
        <item x="237"/>
        <item x="96"/>
        <item x="127"/>
        <item x="112"/>
        <item x="163"/>
        <item x="167"/>
        <item x="260"/>
        <item x="119"/>
        <item x="190"/>
        <item x="11"/>
        <item x="267"/>
        <item x="257"/>
        <item x="117"/>
        <item x="125"/>
        <item x="255"/>
        <item x="122"/>
        <item x="179"/>
        <item x="140"/>
        <item x="93"/>
        <item x="184"/>
        <item x="137"/>
        <item x="241"/>
        <item x="196"/>
        <item x="176"/>
        <item x="132"/>
        <item x="249"/>
        <item x="205"/>
        <item x="88"/>
        <item x="21"/>
        <item x="262"/>
        <item x="115"/>
        <item x="175"/>
        <item x="60"/>
        <item x="150"/>
        <item x="251"/>
        <item x="34"/>
        <item x="203"/>
        <item x="104"/>
        <item x="259"/>
        <item x="223"/>
        <item x="218"/>
        <item x="109"/>
        <item x="166"/>
        <item x="201"/>
        <item x="101"/>
        <item x="216"/>
        <item x="121"/>
        <item x="91"/>
        <item x="79"/>
        <item x="151"/>
        <item x="161"/>
        <item x="47"/>
        <item x="162"/>
        <item x="148"/>
        <item x="144"/>
        <item x="164"/>
        <item x="7"/>
        <item x="51"/>
        <item x="227"/>
        <item x="68"/>
        <item x="268"/>
        <item x="212"/>
        <item x="207"/>
        <item x="221"/>
        <item x="10"/>
        <item x="90"/>
        <item x="254"/>
        <item x="188"/>
        <item x="63"/>
        <item x="231"/>
        <item x="116"/>
        <item x="174"/>
        <item x="20"/>
        <item x="146"/>
        <item x="124"/>
        <item x="71"/>
        <item x="193"/>
        <item x="270"/>
        <item x="222"/>
        <item x="215"/>
        <item x="92"/>
        <item x="97"/>
        <item x="240"/>
        <item x="30"/>
        <item x="32"/>
        <item x="247"/>
        <item x="211"/>
        <item x="77"/>
        <item x="111"/>
        <item x="244"/>
        <item x="41"/>
        <item x="171"/>
        <item x="246"/>
        <item x="52"/>
        <item x="187"/>
        <item x="105"/>
        <item x="108"/>
        <item x="172"/>
        <item x="118"/>
        <item x="153"/>
        <item x="35"/>
        <item x="152"/>
        <item x="3"/>
        <item x="269"/>
        <item x="258"/>
        <item x="189"/>
        <item x="94"/>
        <item x="198"/>
        <item x="126"/>
        <item x="58"/>
        <item x="129"/>
        <item x="242"/>
        <item x="133"/>
        <item x="103"/>
        <item x="178"/>
        <item x="224"/>
        <item x="6"/>
        <item x="99"/>
        <item x="138"/>
        <item x="102"/>
        <item x="100"/>
        <item x="185"/>
        <item x="252"/>
        <item x="165"/>
        <item x="57"/>
        <item x="219"/>
        <item x="208"/>
        <item x="202"/>
        <item x="264"/>
        <item x="25"/>
        <item x="191"/>
        <item x="200"/>
        <item x="95"/>
        <item x="209"/>
        <item x="256"/>
        <item x="81"/>
        <item x="82"/>
        <item x="55"/>
        <item x="38"/>
        <item x="177"/>
        <item x="39"/>
        <item x="234"/>
        <item x="86"/>
        <item x="73"/>
        <item x="2"/>
        <item x="159"/>
        <item x="17"/>
        <item x="114"/>
        <item x="182"/>
        <item x="74"/>
        <item x="45"/>
        <item x="62"/>
        <item x="13"/>
        <item x="42"/>
        <item x="18"/>
        <item x="89"/>
        <item x="83"/>
        <item x="229"/>
        <item x="155"/>
        <item x="123"/>
        <item x="183"/>
        <item x="232"/>
        <item x="194"/>
        <item x="195"/>
        <item x="128"/>
        <item x="4"/>
        <item x="85"/>
        <item x="180"/>
        <item x="245"/>
        <item x="263"/>
        <item x="76"/>
        <item x="156"/>
        <item x="46"/>
        <item x="67"/>
        <item x="147"/>
        <item x="139"/>
        <item x="110"/>
        <item x="169"/>
        <item x="84"/>
        <item x="26"/>
        <item x="87"/>
        <item x="136"/>
        <item x="78"/>
        <item x="65"/>
        <item x="142"/>
        <item x="9"/>
        <item x="236"/>
        <item x="27"/>
        <item x="50"/>
        <item x="130"/>
        <item x="266"/>
        <item x="157"/>
        <item x="106"/>
        <item x="217"/>
        <item x="239"/>
        <item x="226"/>
        <item x="107"/>
        <item x="29"/>
        <item x="69"/>
        <item x="120"/>
        <item x="12"/>
        <item x="98"/>
        <item x="235"/>
        <item t="default"/>
      </items>
    </pivotField>
    <pivotField showAll="0"/>
    <pivotField showAll="0"/>
    <pivotField showAll="0"/>
    <pivotField showAll="0">
      <items count="5">
        <item x="3"/>
        <item x="1"/>
        <item x="0"/>
        <item x="2"/>
        <item t="default"/>
      </items>
    </pivotField>
    <pivotField showAll="0"/>
    <pivotField numFmtId="165" showAll="0"/>
    <pivotField numFmtId="165"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B66BBD2-CDD4-4FCA-AEAA-FCEA9B0F344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numFmtId="164" showAll="0">
      <items count="272">
        <item x="15"/>
        <item x="250"/>
        <item x="210"/>
        <item x="230"/>
        <item x="36"/>
        <item x="66"/>
        <item x="192"/>
        <item x="238"/>
        <item x="131"/>
        <item x="243"/>
        <item x="54"/>
        <item x="158"/>
        <item x="265"/>
        <item x="56"/>
        <item x="141"/>
        <item x="134"/>
        <item x="1"/>
        <item x="206"/>
        <item x="261"/>
        <item x="40"/>
        <item x="37"/>
        <item x="61"/>
        <item x="199"/>
        <item x="197"/>
        <item x="228"/>
        <item x="204"/>
        <item x="145"/>
        <item x="186"/>
        <item x="8"/>
        <item x="233"/>
        <item x="168"/>
        <item x="53"/>
        <item x="72"/>
        <item x="28"/>
        <item x="5"/>
        <item x="19"/>
        <item x="48"/>
        <item x="23"/>
        <item x="220"/>
        <item x="16"/>
        <item x="75"/>
        <item x="170"/>
        <item x="113"/>
        <item x="64"/>
        <item x="225"/>
        <item x="80"/>
        <item x="24"/>
        <item x="154"/>
        <item x="143"/>
        <item x="22"/>
        <item x="149"/>
        <item x="173"/>
        <item x="213"/>
        <item x="14"/>
        <item x="181"/>
        <item x="253"/>
        <item x="0"/>
        <item x="59"/>
        <item x="33"/>
        <item x="135"/>
        <item x="248"/>
        <item x="49"/>
        <item x="43"/>
        <item x="70"/>
        <item x="44"/>
        <item x="214"/>
        <item x="31"/>
        <item x="160"/>
        <item x="237"/>
        <item x="96"/>
        <item x="127"/>
        <item x="112"/>
        <item x="163"/>
        <item x="167"/>
        <item x="260"/>
        <item x="119"/>
        <item x="190"/>
        <item x="11"/>
        <item x="267"/>
        <item x="257"/>
        <item x="117"/>
        <item x="125"/>
        <item x="255"/>
        <item x="122"/>
        <item x="179"/>
        <item x="140"/>
        <item x="93"/>
        <item x="184"/>
        <item x="137"/>
        <item x="241"/>
        <item x="196"/>
        <item x="176"/>
        <item x="132"/>
        <item x="249"/>
        <item x="205"/>
        <item x="88"/>
        <item x="21"/>
        <item x="262"/>
        <item x="115"/>
        <item x="175"/>
        <item x="60"/>
        <item x="150"/>
        <item x="251"/>
        <item x="34"/>
        <item x="203"/>
        <item x="104"/>
        <item x="259"/>
        <item x="223"/>
        <item x="218"/>
        <item x="109"/>
        <item x="166"/>
        <item x="201"/>
        <item x="101"/>
        <item x="216"/>
        <item x="121"/>
        <item x="91"/>
        <item x="79"/>
        <item x="151"/>
        <item x="161"/>
        <item x="47"/>
        <item x="162"/>
        <item x="148"/>
        <item x="144"/>
        <item x="164"/>
        <item x="7"/>
        <item x="51"/>
        <item x="227"/>
        <item x="68"/>
        <item x="268"/>
        <item x="212"/>
        <item x="207"/>
        <item x="221"/>
        <item x="10"/>
        <item x="90"/>
        <item x="254"/>
        <item x="188"/>
        <item x="63"/>
        <item x="231"/>
        <item x="116"/>
        <item x="174"/>
        <item x="20"/>
        <item x="146"/>
        <item x="124"/>
        <item x="71"/>
        <item x="193"/>
        <item x="270"/>
        <item x="222"/>
        <item x="215"/>
        <item x="92"/>
        <item x="97"/>
        <item x="240"/>
        <item x="30"/>
        <item x="32"/>
        <item x="247"/>
        <item x="211"/>
        <item x="77"/>
        <item x="111"/>
        <item x="244"/>
        <item x="41"/>
        <item x="171"/>
        <item x="246"/>
        <item x="52"/>
        <item x="187"/>
        <item x="105"/>
        <item x="108"/>
        <item x="172"/>
        <item x="118"/>
        <item x="153"/>
        <item x="35"/>
        <item x="152"/>
        <item x="3"/>
        <item x="269"/>
        <item x="258"/>
        <item x="189"/>
        <item x="94"/>
        <item x="198"/>
        <item x="126"/>
        <item x="58"/>
        <item x="129"/>
        <item x="242"/>
        <item x="133"/>
        <item x="103"/>
        <item x="178"/>
        <item x="224"/>
        <item x="6"/>
        <item x="99"/>
        <item x="138"/>
        <item x="102"/>
        <item x="100"/>
        <item x="185"/>
        <item x="252"/>
        <item x="165"/>
        <item x="57"/>
        <item x="219"/>
        <item x="208"/>
        <item x="202"/>
        <item x="264"/>
        <item x="25"/>
        <item x="191"/>
        <item x="200"/>
        <item x="95"/>
        <item x="209"/>
        <item x="256"/>
        <item x="81"/>
        <item x="82"/>
        <item x="55"/>
        <item x="38"/>
        <item x="177"/>
        <item x="39"/>
        <item x="234"/>
        <item x="86"/>
        <item x="73"/>
        <item x="2"/>
        <item x="159"/>
        <item x="17"/>
        <item x="114"/>
        <item x="182"/>
        <item x="74"/>
        <item x="45"/>
        <item x="62"/>
        <item x="13"/>
        <item x="42"/>
        <item x="18"/>
        <item x="89"/>
        <item x="83"/>
        <item x="229"/>
        <item x="155"/>
        <item x="123"/>
        <item x="183"/>
        <item x="232"/>
        <item x="194"/>
        <item x="195"/>
        <item x="128"/>
        <item x="4"/>
        <item x="85"/>
        <item x="180"/>
        <item x="245"/>
        <item x="263"/>
        <item x="76"/>
        <item x="156"/>
        <item x="46"/>
        <item x="67"/>
        <item x="147"/>
        <item x="139"/>
        <item x="110"/>
        <item x="169"/>
        <item x="84"/>
        <item x="26"/>
        <item x="87"/>
        <item x="136"/>
        <item x="78"/>
        <item x="65"/>
        <item x="142"/>
        <item x="9"/>
        <item x="236"/>
        <item x="27"/>
        <item x="50"/>
        <item x="130"/>
        <item x="266"/>
        <item x="157"/>
        <item x="106"/>
        <item x="217"/>
        <item x="239"/>
        <item x="226"/>
        <item x="107"/>
        <item x="29"/>
        <item x="69"/>
        <item x="120"/>
        <item x="12"/>
        <item x="98"/>
        <item x="235"/>
        <item t="default"/>
      </items>
    </pivotField>
    <pivotField showAll="0"/>
    <pivotField showAll="0"/>
    <pivotField showAll="0"/>
    <pivotField showAll="0">
      <items count="5">
        <item x="3"/>
        <item x="1"/>
        <item x="0"/>
        <item x="2"/>
        <item t="default"/>
      </items>
    </pivotField>
    <pivotField showAll="0"/>
    <pivotField numFmtId="165" showAll="0"/>
    <pivotField numFmtId="165"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Wait_Time_Minutes"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5AD3129-F73E-4355-AF57-A3DF343D5785}" sourceName="Category">
  <pivotTables>
    <pivotTable tabId="9" name="PivotTable1"/>
    <pivotTable tabId="5" name="PivotTable2"/>
    <pivotTable tabId="11" name="PivotTable2"/>
    <pivotTable tabId="13" name="PivotTable3"/>
    <pivotTable tabId="19" name="PivotTable6"/>
    <pivotTable tabId="22" name="PivotTable8"/>
    <pivotTable tabId="4" name="PivotTable1"/>
    <pivotTable tabId="6" name="PivotTable3"/>
    <pivotTable tabId="7" name="PivotTable4"/>
    <pivotTable tabId="8" name="PivotTable5"/>
    <pivotTable tabId="24" name="PivotTable9"/>
    <pivotTable tabId="27" name="PivotTable1"/>
    <pivotTable tabId="28" name="PivotTable2"/>
  </pivotTables>
  <data>
    <tabular pivotCacheId="115964954">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56C5724-F360-4E2A-A458-2B62C5AD7630}" cache="Slicer_Category" caption="Category"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03F1627-B17C-40D4-8069-383F67A1FD60}" cache="Slicer_Category" caption="Category"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E1DE13EA-A90B-4D19-8BB6-3BD20E60C94C}" cache="Slicer_Category" caption="Category"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37788A94-3E39-42E2-B173-800C85C22C72}" cache="Slicer_Category" caption="Category"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staurantOrders" displayName="RestaurantOrders" ref="A1:O1501" totalsRowShown="0">
  <tableColumns count="15">
    <tableColumn id="1" xr3:uid="{00000000-0010-0000-0000-000001000000}" name="Order_ID"/>
    <tableColumn id="2" xr3:uid="{00000000-0010-0000-0000-000002000000}" name="Date"/>
    <tableColumn id="3" xr3:uid="{00000000-0010-0000-0000-000003000000}" name="Time"/>
    <tableColumn id="4" xr3:uid="{00000000-0010-0000-0000-000004000000}" name="Shift"/>
    <tableColumn id="5" xr3:uid="{00000000-0010-0000-0000-000005000000}" name="Menu_Item"/>
    <tableColumn id="6" xr3:uid="{00000000-0010-0000-0000-000006000000}" name="Category"/>
    <tableColumn id="7" xr3:uid="{00000000-0010-0000-0000-000007000000}" name="Quantity"/>
    <tableColumn id="8" xr3:uid="{00000000-0010-0000-0000-000008000000}" name="Unit_Price_GBP"/>
    <tableColumn id="9" xr3:uid="{00000000-0010-0000-0000-000009000000}" name="Total_Sales_GBP"/>
    <tableColumn id="10" xr3:uid="{00000000-0010-0000-0000-00000A000000}" name="Payment_Method"/>
    <tableColumn id="11" xr3:uid="{00000000-0010-0000-0000-00000B000000}" name="Table_No"/>
    <tableColumn id="12" xr3:uid="{00000000-0010-0000-0000-00000C000000}" name="Wait_Time_Minutes"/>
    <tableColumn id="13" xr3:uid="{00000000-0010-0000-0000-00000D000000}" name="Order_Status"/>
    <tableColumn id="14" xr3:uid="{59E9BFFC-C710-4C0E-A1EC-34C78C3A9337}" name="Expected _Sales_GBP" dataDxfId="2">
      <calculatedColumnFormula>G2*H2</calculatedColumnFormula>
    </tableColumn>
    <tableColumn id="15" xr3:uid="{1BB50EFF-1034-4844-9970-B1B870D5F1F0}" name="Validation_Status" dataDxfId="1">
      <calculatedColumnFormula>OR(AND(M2="Completed",I2=N2),AND(M2="Refunded",ABS(I2)=N2),AND(M2="Cancelled",I2=0))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1.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589AA-7AE0-4E84-BC6D-823A218C0377}">
  <dimension ref="A3:F4"/>
  <sheetViews>
    <sheetView workbookViewId="0">
      <selection activeCell="F4" sqref="F4"/>
    </sheetView>
  </sheetViews>
  <sheetFormatPr defaultRowHeight="14"/>
  <cols>
    <col min="1" max="1" width="11.08203125" bestFit="1" customWidth="1"/>
    <col min="2" max="2" width="11.4140625" bestFit="1" customWidth="1"/>
    <col min="3" max="3" width="17.75" bestFit="1" customWidth="1"/>
    <col min="4" max="4" width="20.4140625" bestFit="1" customWidth="1"/>
    <col min="5" max="5" width="10.08203125" bestFit="1" customWidth="1"/>
    <col min="6" max="6" width="14.9140625" bestFit="1" customWidth="1"/>
  </cols>
  <sheetData>
    <row r="3" spans="1:6">
      <c r="A3" t="s">
        <v>1714</v>
      </c>
      <c r="B3" t="s">
        <v>1715</v>
      </c>
      <c r="C3" t="s">
        <v>1716</v>
      </c>
      <c r="D3" t="s">
        <v>1717</v>
      </c>
      <c r="E3" t="s">
        <v>1718</v>
      </c>
      <c r="F3" t="s">
        <v>1719</v>
      </c>
    </row>
    <row r="4" spans="1:6">
      <c r="A4" s="7">
        <v>19009.350000000071</v>
      </c>
      <c r="B4">
        <v>1500</v>
      </c>
      <c r="C4" s="7">
        <f>A4/B4</f>
        <v>12.672900000000048</v>
      </c>
      <c r="D4" s="8">
        <f>AVERAGE(RestaurantOrders[Wait_Time_Minutes])</f>
        <v>16.546666666666667</v>
      </c>
      <c r="E4" s="9">
        <f>COUNTIF(RestaurantOrders[Order_Status],"Refunded")/COUNTA(RestaurantOrders[Order_ID])</f>
        <v>2.8000000000000001E-2</v>
      </c>
      <c r="F4" s="9">
        <f>COUNTIF(RestaurantOrders[Order_Status],"Cancelled")/COUNTA(RestaurantOrders[Order_ID])</f>
        <v>3.1333333333333331E-2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BFD53-6F95-4C61-A523-289B590C3800}">
  <dimension ref="A3:B6"/>
  <sheetViews>
    <sheetView workbookViewId="0">
      <selection activeCell="B15" sqref="B15"/>
    </sheetView>
  </sheetViews>
  <sheetFormatPr defaultRowHeight="14"/>
  <cols>
    <col min="1" max="1" width="12.9140625" bestFit="1" customWidth="1"/>
    <col min="2" max="2" width="22.58203125" bestFit="1" customWidth="1"/>
  </cols>
  <sheetData>
    <row r="3" spans="1:2">
      <c r="A3" s="10" t="s">
        <v>1720</v>
      </c>
      <c r="B3" t="s">
        <v>1713</v>
      </c>
    </row>
    <row r="4" spans="1:2">
      <c r="A4" s="11" t="s">
        <v>35</v>
      </c>
      <c r="B4" s="3">
        <v>11744.250000000009</v>
      </c>
    </row>
    <row r="5" spans="1:2">
      <c r="A5" s="11" t="s">
        <v>15</v>
      </c>
      <c r="B5" s="3">
        <v>7265.0999999999849</v>
      </c>
    </row>
    <row r="6" spans="1:2">
      <c r="A6" s="11" t="s">
        <v>1721</v>
      </c>
      <c r="B6" s="3">
        <v>19009.349999999995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0FDD5-B57D-4028-ADED-F2D0FEC03481}">
  <dimension ref="A3:B8"/>
  <sheetViews>
    <sheetView workbookViewId="0">
      <selection activeCell="B4" sqref="B4"/>
    </sheetView>
  </sheetViews>
  <sheetFormatPr defaultRowHeight="14"/>
  <cols>
    <col min="1" max="1" width="12.9140625" bestFit="1" customWidth="1"/>
    <col min="2" max="2" width="22.58203125" bestFit="1" customWidth="1"/>
  </cols>
  <sheetData>
    <row r="3" spans="1:2">
      <c r="A3" s="10" t="s">
        <v>1720</v>
      </c>
      <c r="B3" t="s">
        <v>1713</v>
      </c>
    </row>
    <row r="4" spans="1:2">
      <c r="A4" s="11" t="s">
        <v>47</v>
      </c>
      <c r="B4" s="3">
        <v>2085.550000000002</v>
      </c>
    </row>
    <row r="5" spans="1:2">
      <c r="A5" s="11" t="s">
        <v>23</v>
      </c>
      <c r="B5" s="3">
        <v>2041.0999999999979</v>
      </c>
    </row>
    <row r="6" spans="1:2">
      <c r="A6" s="11" t="s">
        <v>17</v>
      </c>
      <c r="B6" s="3">
        <v>11853.100000000009</v>
      </c>
    </row>
    <row r="7" spans="1:2">
      <c r="A7" s="11" t="s">
        <v>31</v>
      </c>
      <c r="B7" s="3">
        <v>3029.5999999999995</v>
      </c>
    </row>
    <row r="8" spans="1:2">
      <c r="A8" s="11" t="s">
        <v>1721</v>
      </c>
      <c r="B8" s="3">
        <v>19009.350000000009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A49B5-FAB4-4EE8-B4BF-F4A25A59625E}">
  <dimension ref="A3:B8"/>
  <sheetViews>
    <sheetView workbookViewId="0">
      <selection activeCell="J16" sqref="J16"/>
    </sheetView>
  </sheetViews>
  <sheetFormatPr defaultRowHeight="14"/>
  <cols>
    <col min="1" max="1" width="12.9140625" bestFit="1" customWidth="1"/>
    <col min="2" max="2" width="22.58203125" bestFit="1" customWidth="1"/>
  </cols>
  <sheetData>
    <row r="3" spans="1:2">
      <c r="A3" s="10" t="s">
        <v>1720</v>
      </c>
      <c r="B3" t="s">
        <v>1713</v>
      </c>
    </row>
    <row r="4" spans="1:2">
      <c r="A4" s="11" t="s">
        <v>27</v>
      </c>
      <c r="B4" s="3">
        <v>6806.4999999999864</v>
      </c>
    </row>
    <row r="5" spans="1:2">
      <c r="A5" s="11" t="s">
        <v>32</v>
      </c>
      <c r="B5" s="3">
        <v>2217.6500000000005</v>
      </c>
    </row>
    <row r="6" spans="1:2">
      <c r="A6" s="11" t="s">
        <v>18</v>
      </c>
      <c r="B6" s="3">
        <v>7360.2999999999911</v>
      </c>
    </row>
    <row r="7" spans="1:2">
      <c r="A7" s="11" t="s">
        <v>53</v>
      </c>
      <c r="B7" s="3">
        <v>2624.9000000000005</v>
      </c>
    </row>
    <row r="8" spans="1:2">
      <c r="A8" s="11" t="s">
        <v>1721</v>
      </c>
      <c r="B8" s="3">
        <v>19009.34999999998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2F65A-6659-4CAF-894E-412DE932974C}">
  <dimension ref="A3:B9"/>
  <sheetViews>
    <sheetView zoomScale="96" workbookViewId="0">
      <selection activeCell="J10" sqref="J10"/>
    </sheetView>
  </sheetViews>
  <sheetFormatPr defaultRowHeight="14"/>
  <cols>
    <col min="1" max="1" width="14.5" bestFit="1" customWidth="1"/>
    <col min="2" max="2" width="22.9140625" bestFit="1" customWidth="1"/>
  </cols>
  <sheetData>
    <row r="3" spans="1:2">
      <c r="A3" s="10" t="s">
        <v>1720</v>
      </c>
      <c r="B3" t="s">
        <v>1713</v>
      </c>
    </row>
    <row r="4" spans="1:2">
      <c r="A4" s="11" t="s">
        <v>50</v>
      </c>
      <c r="B4" s="3">
        <v>2102.5</v>
      </c>
    </row>
    <row r="5" spans="1:2">
      <c r="A5" s="11" t="s">
        <v>106</v>
      </c>
      <c r="B5" s="3">
        <v>1977.8000000000018</v>
      </c>
    </row>
    <row r="6" spans="1:2">
      <c r="A6" s="11" t="s">
        <v>59</v>
      </c>
      <c r="B6" s="3">
        <v>1637.1500000000015</v>
      </c>
    </row>
    <row r="7" spans="1:2">
      <c r="A7" s="11" t="s">
        <v>83</v>
      </c>
      <c r="B7" s="3">
        <v>1606.5</v>
      </c>
    </row>
    <row r="8" spans="1:2">
      <c r="A8" s="11" t="s">
        <v>70</v>
      </c>
      <c r="B8" s="3">
        <v>1262.5</v>
      </c>
    </row>
    <row r="9" spans="1:2">
      <c r="A9" s="11" t="s">
        <v>1721</v>
      </c>
      <c r="B9" s="3">
        <v>8586.4500000000044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B4161-3128-4234-AF76-853C7C011AED}">
  <dimension ref="A3:B8"/>
  <sheetViews>
    <sheetView workbookViewId="0">
      <selection activeCell="B4" sqref="B4"/>
    </sheetView>
  </sheetViews>
  <sheetFormatPr defaultRowHeight="14"/>
  <cols>
    <col min="1" max="1" width="12.9140625" bestFit="1" customWidth="1"/>
    <col min="2" max="2" width="22.58203125" bestFit="1" customWidth="1"/>
  </cols>
  <sheetData>
    <row r="3" spans="1:2">
      <c r="A3" s="10" t="s">
        <v>1720</v>
      </c>
      <c r="B3" t="s">
        <v>1713</v>
      </c>
    </row>
    <row r="4" spans="1:2">
      <c r="A4" s="11" t="s">
        <v>47</v>
      </c>
      <c r="B4" s="3">
        <v>2085.550000000002</v>
      </c>
    </row>
    <row r="5" spans="1:2">
      <c r="A5" s="11" t="s">
        <v>23</v>
      </c>
      <c r="B5" s="3">
        <v>2041.0999999999979</v>
      </c>
    </row>
    <row r="6" spans="1:2">
      <c r="A6" s="11" t="s">
        <v>17</v>
      </c>
      <c r="B6" s="3">
        <v>11853.100000000009</v>
      </c>
    </row>
    <row r="7" spans="1:2">
      <c r="A7" s="11" t="s">
        <v>31</v>
      </c>
      <c r="B7" s="3">
        <v>3029.5999999999995</v>
      </c>
    </row>
    <row r="8" spans="1:2">
      <c r="A8" s="11" t="s">
        <v>1721</v>
      </c>
      <c r="B8" s="3">
        <v>19009.350000000009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8F103-7EB0-4684-AE26-F0884A71C995}">
  <dimension ref="A3:B7"/>
  <sheetViews>
    <sheetView workbookViewId="0">
      <selection activeCell="K4" sqref="K4"/>
    </sheetView>
  </sheetViews>
  <sheetFormatPr defaultRowHeight="14"/>
  <cols>
    <col min="1" max="1" width="12.9140625" bestFit="1" customWidth="1"/>
    <col min="2" max="2" width="22.58203125" bestFit="1" customWidth="1"/>
  </cols>
  <sheetData>
    <row r="3" spans="1:2">
      <c r="A3" s="10" t="s">
        <v>1720</v>
      </c>
      <c r="B3" t="s">
        <v>1713</v>
      </c>
    </row>
    <row r="4" spans="1:2">
      <c r="A4" s="11" t="s">
        <v>152</v>
      </c>
      <c r="B4" s="3">
        <v>0</v>
      </c>
    </row>
    <row r="5" spans="1:2">
      <c r="A5" s="11" t="s">
        <v>19</v>
      </c>
      <c r="B5" s="3">
        <v>19649.150000000078</v>
      </c>
    </row>
    <row r="6" spans="1:2">
      <c r="A6" s="11" t="s">
        <v>62</v>
      </c>
      <c r="B6" s="3">
        <v>-639.80000000000007</v>
      </c>
    </row>
    <row r="7" spans="1:2">
      <c r="A7" s="11" t="s">
        <v>1721</v>
      </c>
      <c r="B7" s="3">
        <v>19009.350000000079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3886E-10B1-4AAA-B083-1D8024D4F73A}">
  <dimension ref="A3:B13"/>
  <sheetViews>
    <sheetView topLeftCell="A3" workbookViewId="0">
      <selection activeCell="F26" sqref="F26"/>
    </sheetView>
  </sheetViews>
  <sheetFormatPr defaultRowHeight="14"/>
  <cols>
    <col min="1" max="1" width="12.9140625" bestFit="1" customWidth="1"/>
    <col min="2" max="2" width="22.58203125" bestFit="1" customWidth="1"/>
  </cols>
  <sheetData>
    <row r="3" spans="1:2">
      <c r="A3" s="10" t="s">
        <v>1720</v>
      </c>
      <c r="B3" t="s">
        <v>1713</v>
      </c>
    </row>
    <row r="4" spans="1:2">
      <c r="A4" s="11" t="s">
        <v>1722</v>
      </c>
      <c r="B4" s="3">
        <v>1898.2500000000005</v>
      </c>
    </row>
    <row r="5" spans="1:2">
      <c r="A5" s="11" t="s">
        <v>1723</v>
      </c>
      <c r="B5" s="3">
        <v>2180.2500000000005</v>
      </c>
    </row>
    <row r="6" spans="1:2">
      <c r="A6" s="11" t="s">
        <v>1724</v>
      </c>
      <c r="B6" s="3">
        <v>2062.7000000000012</v>
      </c>
    </row>
    <row r="7" spans="1:2">
      <c r="A7" s="11" t="s">
        <v>1725</v>
      </c>
      <c r="B7" s="3">
        <v>2123.9000000000005</v>
      </c>
    </row>
    <row r="8" spans="1:2">
      <c r="A8" s="11" t="s">
        <v>1726</v>
      </c>
      <c r="B8" s="3">
        <v>2090.5000000000023</v>
      </c>
    </row>
    <row r="9" spans="1:2">
      <c r="A9" s="11" t="s">
        <v>1727</v>
      </c>
      <c r="B9" s="3">
        <v>2395.5000000000005</v>
      </c>
    </row>
    <row r="10" spans="1:2">
      <c r="A10" s="11" t="s">
        <v>1728</v>
      </c>
      <c r="B10" s="3">
        <v>2045.0000000000009</v>
      </c>
    </row>
    <row r="11" spans="1:2">
      <c r="A11" s="11" t="s">
        <v>1729</v>
      </c>
      <c r="B11" s="3">
        <v>2135.8500000000008</v>
      </c>
    </row>
    <row r="12" spans="1:2">
      <c r="A12" s="11" t="s">
        <v>1730</v>
      </c>
      <c r="B12" s="3">
        <v>2077.4000000000015</v>
      </c>
    </row>
    <row r="13" spans="1:2">
      <c r="A13" s="11" t="s">
        <v>1721</v>
      </c>
      <c r="B13" s="3">
        <v>19009.350000000009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8D108-C191-4903-9F17-9EFEB48D5027}">
  <dimension ref="A3:B6"/>
  <sheetViews>
    <sheetView workbookViewId="0">
      <selection activeCell="B5" sqref="B5"/>
    </sheetView>
  </sheetViews>
  <sheetFormatPr defaultRowHeight="14"/>
  <cols>
    <col min="1" max="1" width="12.9140625" bestFit="1" customWidth="1"/>
    <col min="2" max="2" width="27.4140625" bestFit="1" customWidth="1"/>
  </cols>
  <sheetData>
    <row r="3" spans="1:2">
      <c r="A3" s="10" t="s">
        <v>1720</v>
      </c>
      <c r="B3" t="s">
        <v>1731</v>
      </c>
    </row>
    <row r="4" spans="1:2">
      <c r="A4" s="11" t="s">
        <v>35</v>
      </c>
      <c r="B4" s="8">
        <v>17.990374331550804</v>
      </c>
    </row>
    <row r="5" spans="1:2">
      <c r="A5" s="11" t="s">
        <v>15</v>
      </c>
      <c r="B5" s="8">
        <v>14.157522123893806</v>
      </c>
    </row>
    <row r="6" spans="1:2">
      <c r="A6" s="11" t="s">
        <v>1721</v>
      </c>
      <c r="B6" s="8">
        <v>16.546666666666667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9E127-282F-449D-B770-B5F0C7DF096B}">
  <dimension ref="B2:Q11"/>
  <sheetViews>
    <sheetView showGridLines="0" tabSelected="1" zoomScale="55" workbookViewId="0">
      <selection activeCell="Q32" sqref="Q32"/>
    </sheetView>
  </sheetViews>
  <sheetFormatPr defaultRowHeight="14"/>
  <cols>
    <col min="2" max="2" width="95.9140625" bestFit="1" customWidth="1"/>
    <col min="3" max="3" width="17.08203125" bestFit="1" customWidth="1"/>
    <col min="5" max="5" width="22.9140625" bestFit="1" customWidth="1"/>
  </cols>
  <sheetData>
    <row r="2" spans="2:17" ht="20">
      <c r="B2" s="21" t="s">
        <v>1732</v>
      </c>
    </row>
    <row r="3" spans="2:17" ht="14.5" thickBot="1"/>
    <row r="4" spans="2:17" ht="15.5">
      <c r="B4" s="12" t="s">
        <v>1733</v>
      </c>
      <c r="C4" s="14" t="s">
        <v>1734</v>
      </c>
      <c r="D4" s="15"/>
      <c r="E4" s="18" t="s">
        <v>1736</v>
      </c>
    </row>
    <row r="5" spans="2:17" ht="23.5" thickBot="1">
      <c r="B5" s="13">
        <f>GETPIVOTDATA("Total_Sales_GBP",Total_Sales_Slicer!$A$3)</f>
        <v>19009.350000000071</v>
      </c>
      <c r="C5" s="16">
        <f>GETPIVOTDATA("Order_ID",Total_Orders_Slicer!$A$3)</f>
        <v>1500</v>
      </c>
      <c r="D5" s="17"/>
      <c r="E5" s="19">
        <f>GETPIVOTDATA("Wait_Time_Minutes",AVG_Wait_Time_Slicer!$A$3)</f>
        <v>16.546666666666667</v>
      </c>
    </row>
    <row r="6" spans="2:17" ht="14.5" thickBot="1">
      <c r="E6" s="20"/>
    </row>
    <row r="11" spans="2:17">
      <c r="Q11" t="s">
        <v>1737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B2B89-F0EC-4BE2-8103-C49F1897E1E8}">
  <dimension ref="A3:A4"/>
  <sheetViews>
    <sheetView workbookViewId="0">
      <selection activeCell="A3" sqref="A3"/>
    </sheetView>
  </sheetViews>
  <sheetFormatPr defaultRowHeight="14"/>
  <cols>
    <col min="1" max="1" width="22.58203125" bestFit="1" customWidth="1"/>
  </cols>
  <sheetData>
    <row r="3" spans="1:1">
      <c r="A3" t="s">
        <v>1713</v>
      </c>
    </row>
    <row r="4" spans="1:1">
      <c r="A4" s="3">
        <v>19009.350000000071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32E91-54D9-422A-AC3E-195EBA416054}">
  <dimension ref="A3:A4"/>
  <sheetViews>
    <sheetView workbookViewId="0">
      <selection activeCell="A4" sqref="A4"/>
    </sheetView>
  </sheetViews>
  <sheetFormatPr defaultRowHeight="14"/>
  <cols>
    <col min="1" max="1" width="22.58203125" bestFit="1" customWidth="1"/>
  </cols>
  <sheetData>
    <row r="3" spans="1:1">
      <c r="A3" t="s">
        <v>1713</v>
      </c>
    </row>
    <row r="4" spans="1:1">
      <c r="A4" s="3">
        <v>19009.350000000071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ACA46-C90D-478F-A6BF-7B4989D5AF68}">
  <dimension ref="A3:A4"/>
  <sheetViews>
    <sheetView workbookViewId="0">
      <selection activeCell="A4" sqref="A4"/>
    </sheetView>
  </sheetViews>
  <sheetFormatPr defaultRowHeight="14"/>
  <cols>
    <col min="1" max="1" width="16.25" bestFit="1" customWidth="1"/>
  </cols>
  <sheetData>
    <row r="3" spans="1:1">
      <c r="A3" t="s">
        <v>1735</v>
      </c>
    </row>
    <row r="4" spans="1:1">
      <c r="A4">
        <v>1500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2BC02-B487-40F8-A9A5-B3C91FDFB21B}">
  <dimension ref="A3:A4"/>
  <sheetViews>
    <sheetView workbookViewId="0">
      <selection activeCell="A4" sqref="A4"/>
    </sheetView>
  </sheetViews>
  <sheetFormatPr defaultRowHeight="14"/>
  <cols>
    <col min="1" max="1" width="27.4140625" bestFit="1" customWidth="1"/>
  </cols>
  <sheetData>
    <row r="3" spans="1:1">
      <c r="A3" t="s">
        <v>1731</v>
      </c>
    </row>
    <row r="4" spans="1:1">
      <c r="A4">
        <v>16.546666666666667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01"/>
  <sheetViews>
    <sheetView workbookViewId="0">
      <pane ySplit="1" topLeftCell="A2" activePane="bottomLeft" state="frozen"/>
      <selection pane="bottomLeft" activeCell="D2" sqref="D2"/>
    </sheetView>
  </sheetViews>
  <sheetFormatPr defaultRowHeight="14"/>
  <cols>
    <col min="1" max="1" width="14" customWidth="1"/>
    <col min="2" max="2" width="12" customWidth="1"/>
    <col min="3" max="4" width="11" customWidth="1"/>
    <col min="5" max="5" width="22" customWidth="1"/>
    <col min="6" max="6" width="12" customWidth="1"/>
    <col min="7" max="7" width="10" customWidth="1"/>
    <col min="8" max="9" width="16" customWidth="1"/>
    <col min="10" max="10" width="17" customWidth="1"/>
    <col min="11" max="12" width="16" customWidth="1"/>
    <col min="13" max="13" width="14" customWidth="1"/>
    <col min="14" max="14" width="13.83203125" bestFit="1"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t="s">
        <v>1711</v>
      </c>
      <c r="O1" t="s">
        <v>1712</v>
      </c>
    </row>
    <row r="2" spans="1:15">
      <c r="A2" t="s">
        <v>13</v>
      </c>
      <c r="B2" s="2">
        <v>46080</v>
      </c>
      <c r="C2" t="s">
        <v>14</v>
      </c>
      <c r="D2" t="s">
        <v>15</v>
      </c>
      <c r="E2" t="s">
        <v>16</v>
      </c>
      <c r="F2" t="s">
        <v>17</v>
      </c>
      <c r="G2">
        <v>1</v>
      </c>
      <c r="H2" s="3">
        <v>9.9499999999999993</v>
      </c>
      <c r="I2" s="3">
        <v>9.9499999999999993</v>
      </c>
      <c r="J2" t="s">
        <v>18</v>
      </c>
      <c r="K2">
        <v>3</v>
      </c>
      <c r="L2">
        <v>10</v>
      </c>
      <c r="M2" t="s">
        <v>19</v>
      </c>
      <c r="N2">
        <f t="shared" ref="N2:N65" si="0">G2*H2</f>
        <v>9.9499999999999993</v>
      </c>
      <c r="O2" t="b">
        <f t="shared" ref="O2:O65" si="1">OR(AND(M2="Completed",I2=N2),AND(M2="Refunded",ABS(I2)=N2),AND(M2="Cancelled",I2=0))</f>
        <v>1</v>
      </c>
    </row>
    <row r="3" spans="1:15">
      <c r="A3" t="s">
        <v>20</v>
      </c>
      <c r="B3" s="2">
        <v>46039</v>
      </c>
      <c r="C3" t="s">
        <v>21</v>
      </c>
      <c r="D3" t="s">
        <v>15</v>
      </c>
      <c r="E3" t="s">
        <v>22</v>
      </c>
      <c r="F3" t="s">
        <v>23</v>
      </c>
      <c r="G3">
        <v>2</v>
      </c>
      <c r="H3" s="3">
        <v>3.1</v>
      </c>
      <c r="I3" s="3">
        <v>6.2</v>
      </c>
      <c r="J3" t="s">
        <v>18</v>
      </c>
      <c r="K3">
        <v>7</v>
      </c>
      <c r="L3">
        <v>2</v>
      </c>
      <c r="M3" t="s">
        <v>19</v>
      </c>
      <c r="N3">
        <f t="shared" si="0"/>
        <v>6.2</v>
      </c>
      <c r="O3" t="b">
        <f t="shared" si="1"/>
        <v>1</v>
      </c>
    </row>
    <row r="4" spans="1:15">
      <c r="A4" t="s">
        <v>24</v>
      </c>
      <c r="B4" s="2">
        <v>46237</v>
      </c>
      <c r="C4" t="s">
        <v>25</v>
      </c>
      <c r="D4" t="s">
        <v>15</v>
      </c>
      <c r="E4" t="s">
        <v>26</v>
      </c>
      <c r="F4" t="s">
        <v>17</v>
      </c>
      <c r="G4">
        <v>2</v>
      </c>
      <c r="H4" s="3">
        <v>11.5</v>
      </c>
      <c r="I4" s="3">
        <v>23</v>
      </c>
      <c r="J4" t="s">
        <v>27</v>
      </c>
      <c r="K4">
        <v>5</v>
      </c>
      <c r="L4">
        <v>14</v>
      </c>
      <c r="M4" t="s">
        <v>19</v>
      </c>
      <c r="N4">
        <f t="shared" si="0"/>
        <v>23</v>
      </c>
      <c r="O4" t="b">
        <f t="shared" si="1"/>
        <v>1</v>
      </c>
    </row>
    <row r="5" spans="1:15">
      <c r="A5" t="s">
        <v>28</v>
      </c>
      <c r="B5" s="2">
        <v>46195</v>
      </c>
      <c r="C5" t="s">
        <v>29</v>
      </c>
      <c r="D5" t="s">
        <v>15</v>
      </c>
      <c r="E5" t="s">
        <v>30</v>
      </c>
      <c r="F5" t="s">
        <v>31</v>
      </c>
      <c r="G5">
        <v>2</v>
      </c>
      <c r="H5" s="3">
        <v>8.5</v>
      </c>
      <c r="I5" s="3">
        <v>17</v>
      </c>
      <c r="J5" t="s">
        <v>32</v>
      </c>
      <c r="K5">
        <v>9</v>
      </c>
      <c r="L5">
        <v>10</v>
      </c>
      <c r="M5" t="s">
        <v>19</v>
      </c>
      <c r="N5">
        <f t="shared" si="0"/>
        <v>17</v>
      </c>
      <c r="O5" t="b">
        <f t="shared" si="1"/>
        <v>1</v>
      </c>
    </row>
    <row r="6" spans="1:15">
      <c r="A6" t="s">
        <v>33</v>
      </c>
      <c r="B6" s="2">
        <v>46258</v>
      </c>
      <c r="C6" t="s">
        <v>34</v>
      </c>
      <c r="D6" t="s">
        <v>35</v>
      </c>
      <c r="E6" t="s">
        <v>36</v>
      </c>
      <c r="F6" t="s">
        <v>23</v>
      </c>
      <c r="G6">
        <v>1</v>
      </c>
      <c r="H6" s="3">
        <v>2.8</v>
      </c>
      <c r="I6" s="3">
        <v>2.8</v>
      </c>
      <c r="J6" t="s">
        <v>27</v>
      </c>
      <c r="K6">
        <v>19</v>
      </c>
      <c r="L6">
        <v>4</v>
      </c>
      <c r="M6" t="s">
        <v>19</v>
      </c>
      <c r="N6">
        <f t="shared" si="0"/>
        <v>2.8</v>
      </c>
      <c r="O6" t="b">
        <f t="shared" si="1"/>
        <v>1</v>
      </c>
    </row>
    <row r="7" spans="1:15">
      <c r="A7" t="s">
        <v>37</v>
      </c>
      <c r="B7" s="2">
        <v>46058</v>
      </c>
      <c r="C7" t="s">
        <v>38</v>
      </c>
      <c r="D7" t="s">
        <v>15</v>
      </c>
      <c r="E7" t="s">
        <v>39</v>
      </c>
      <c r="F7" t="s">
        <v>17</v>
      </c>
      <c r="G7">
        <v>2</v>
      </c>
      <c r="H7" s="3">
        <v>12.95</v>
      </c>
      <c r="I7" s="3">
        <v>25.9</v>
      </c>
      <c r="J7" t="s">
        <v>27</v>
      </c>
      <c r="K7">
        <v>13</v>
      </c>
      <c r="L7">
        <v>7</v>
      </c>
      <c r="M7" t="s">
        <v>19</v>
      </c>
      <c r="N7">
        <f t="shared" si="0"/>
        <v>25.9</v>
      </c>
      <c r="O7" t="b">
        <f t="shared" si="1"/>
        <v>1</v>
      </c>
    </row>
    <row r="8" spans="1:15">
      <c r="A8" t="s">
        <v>40</v>
      </c>
      <c r="B8" s="2">
        <v>46209</v>
      </c>
      <c r="C8" t="s">
        <v>14</v>
      </c>
      <c r="D8" t="s">
        <v>15</v>
      </c>
      <c r="E8" t="s">
        <v>41</v>
      </c>
      <c r="F8" t="s">
        <v>31</v>
      </c>
      <c r="G8">
        <v>2</v>
      </c>
      <c r="H8" s="3">
        <v>5.5</v>
      </c>
      <c r="I8" s="3">
        <v>11</v>
      </c>
      <c r="J8" t="s">
        <v>18</v>
      </c>
      <c r="K8">
        <v>6</v>
      </c>
      <c r="L8">
        <v>11</v>
      </c>
      <c r="M8" t="s">
        <v>19</v>
      </c>
      <c r="N8">
        <f t="shared" si="0"/>
        <v>11</v>
      </c>
      <c r="O8" t="b">
        <f t="shared" si="1"/>
        <v>1</v>
      </c>
    </row>
    <row r="9" spans="1:15">
      <c r="A9" t="s">
        <v>42</v>
      </c>
      <c r="B9" s="2">
        <v>46148</v>
      </c>
      <c r="C9" t="s">
        <v>43</v>
      </c>
      <c r="D9" t="s">
        <v>15</v>
      </c>
      <c r="E9" t="s">
        <v>36</v>
      </c>
      <c r="F9" t="s">
        <v>23</v>
      </c>
      <c r="G9">
        <v>1</v>
      </c>
      <c r="H9" s="3">
        <v>2.8</v>
      </c>
      <c r="I9" s="3">
        <v>2.8</v>
      </c>
      <c r="J9" t="s">
        <v>32</v>
      </c>
      <c r="K9">
        <v>27</v>
      </c>
      <c r="L9">
        <v>2</v>
      </c>
      <c r="M9" t="s">
        <v>19</v>
      </c>
      <c r="N9">
        <f t="shared" si="0"/>
        <v>2.8</v>
      </c>
      <c r="O9" t="b">
        <f t="shared" si="1"/>
        <v>1</v>
      </c>
    </row>
    <row r="10" spans="1:15">
      <c r="A10" t="s">
        <v>44</v>
      </c>
      <c r="B10" s="2">
        <v>46051</v>
      </c>
      <c r="C10" t="s">
        <v>45</v>
      </c>
      <c r="D10" t="s">
        <v>15</v>
      </c>
      <c r="E10" t="s">
        <v>46</v>
      </c>
      <c r="F10" t="s">
        <v>47</v>
      </c>
      <c r="G10">
        <v>1</v>
      </c>
      <c r="H10" s="3">
        <v>6.95</v>
      </c>
      <c r="I10" s="3">
        <v>6.95</v>
      </c>
      <c r="J10" t="s">
        <v>27</v>
      </c>
      <c r="K10">
        <v>23</v>
      </c>
      <c r="L10">
        <v>22</v>
      </c>
      <c r="M10" t="s">
        <v>19</v>
      </c>
      <c r="N10">
        <f t="shared" si="0"/>
        <v>6.95</v>
      </c>
      <c r="O10" t="b">
        <f t="shared" si="1"/>
        <v>1</v>
      </c>
    </row>
    <row r="11" spans="1:15">
      <c r="A11" t="s">
        <v>48</v>
      </c>
      <c r="B11" s="2">
        <v>46278</v>
      </c>
      <c r="C11" t="s">
        <v>49</v>
      </c>
      <c r="D11" t="s">
        <v>35</v>
      </c>
      <c r="E11" t="s">
        <v>50</v>
      </c>
      <c r="F11" t="s">
        <v>17</v>
      </c>
      <c r="G11">
        <v>1</v>
      </c>
      <c r="H11" s="3">
        <v>14.5</v>
      </c>
      <c r="I11" s="3">
        <v>14.5</v>
      </c>
      <c r="J11" t="s">
        <v>18</v>
      </c>
      <c r="K11">
        <v>24</v>
      </c>
      <c r="L11">
        <v>15</v>
      </c>
      <c r="M11" t="s">
        <v>19</v>
      </c>
      <c r="N11">
        <f t="shared" si="0"/>
        <v>14.5</v>
      </c>
      <c r="O11" t="b">
        <f t="shared" si="1"/>
        <v>1</v>
      </c>
    </row>
    <row r="12" spans="1:15">
      <c r="A12" t="s">
        <v>51</v>
      </c>
      <c r="B12" s="2">
        <v>46157</v>
      </c>
      <c r="C12" t="s">
        <v>52</v>
      </c>
      <c r="D12" t="s">
        <v>35</v>
      </c>
      <c r="E12" t="s">
        <v>46</v>
      </c>
      <c r="F12" t="s">
        <v>47</v>
      </c>
      <c r="G12">
        <v>1</v>
      </c>
      <c r="H12" s="3">
        <v>6.95</v>
      </c>
      <c r="I12" s="3">
        <v>6.95</v>
      </c>
      <c r="J12" t="s">
        <v>53</v>
      </c>
      <c r="K12">
        <v>2</v>
      </c>
      <c r="L12">
        <v>17</v>
      </c>
      <c r="M12" t="s">
        <v>19</v>
      </c>
      <c r="N12">
        <f t="shared" si="0"/>
        <v>6.95</v>
      </c>
      <c r="O12" t="b">
        <f t="shared" si="1"/>
        <v>1</v>
      </c>
    </row>
    <row r="13" spans="1:15">
      <c r="A13" t="s">
        <v>54</v>
      </c>
      <c r="B13" s="2">
        <v>46101</v>
      </c>
      <c r="C13" t="s">
        <v>55</v>
      </c>
      <c r="D13" t="s">
        <v>35</v>
      </c>
      <c r="E13" t="s">
        <v>56</v>
      </c>
      <c r="F13" t="s">
        <v>23</v>
      </c>
      <c r="G13">
        <v>1</v>
      </c>
      <c r="H13" s="3">
        <v>3.75</v>
      </c>
      <c r="I13" s="3">
        <v>3.75</v>
      </c>
      <c r="J13" t="s">
        <v>53</v>
      </c>
      <c r="K13">
        <v>20</v>
      </c>
      <c r="L13">
        <v>12</v>
      </c>
      <c r="M13" t="s">
        <v>19</v>
      </c>
      <c r="N13">
        <f t="shared" si="0"/>
        <v>3.75</v>
      </c>
      <c r="O13" t="b">
        <f t="shared" si="1"/>
        <v>1</v>
      </c>
    </row>
    <row r="14" spans="1:15">
      <c r="A14" t="s">
        <v>57</v>
      </c>
      <c r="B14" s="2">
        <v>46293</v>
      </c>
      <c r="C14" t="s">
        <v>58</v>
      </c>
      <c r="D14" t="s">
        <v>15</v>
      </c>
      <c r="E14" t="s">
        <v>59</v>
      </c>
      <c r="F14" t="s">
        <v>17</v>
      </c>
      <c r="G14">
        <v>2</v>
      </c>
      <c r="H14" s="3">
        <v>11.95</v>
      </c>
      <c r="I14" s="3">
        <v>23.9</v>
      </c>
      <c r="J14" t="s">
        <v>27</v>
      </c>
      <c r="K14">
        <v>11</v>
      </c>
      <c r="L14">
        <v>16</v>
      </c>
      <c r="M14" t="s">
        <v>19</v>
      </c>
      <c r="N14">
        <f t="shared" si="0"/>
        <v>23.9</v>
      </c>
      <c r="O14" t="b">
        <f t="shared" si="1"/>
        <v>1</v>
      </c>
    </row>
    <row r="15" spans="1:15">
      <c r="A15" t="s">
        <v>60</v>
      </c>
      <c r="B15" s="2">
        <v>46245</v>
      </c>
      <c r="C15" t="s">
        <v>61</v>
      </c>
      <c r="D15" t="s">
        <v>15</v>
      </c>
      <c r="E15" t="s">
        <v>41</v>
      </c>
      <c r="F15" t="s">
        <v>31</v>
      </c>
      <c r="G15">
        <v>4</v>
      </c>
      <c r="H15" s="3">
        <v>5.5</v>
      </c>
      <c r="I15" s="3">
        <v>-22</v>
      </c>
      <c r="J15" t="s">
        <v>18</v>
      </c>
      <c r="K15">
        <v>6</v>
      </c>
      <c r="L15">
        <v>5</v>
      </c>
      <c r="M15" t="s">
        <v>62</v>
      </c>
      <c r="N15">
        <f t="shared" si="0"/>
        <v>22</v>
      </c>
      <c r="O15" t="b">
        <f t="shared" si="1"/>
        <v>1</v>
      </c>
    </row>
    <row r="16" spans="1:15">
      <c r="A16" t="s">
        <v>63</v>
      </c>
      <c r="B16" s="2">
        <v>46077</v>
      </c>
      <c r="C16" t="s">
        <v>64</v>
      </c>
      <c r="D16" t="s">
        <v>35</v>
      </c>
      <c r="E16" t="s">
        <v>22</v>
      </c>
      <c r="F16" t="s">
        <v>23</v>
      </c>
      <c r="G16">
        <v>2</v>
      </c>
      <c r="H16" s="3">
        <v>3.1</v>
      </c>
      <c r="I16" s="3">
        <v>6.2</v>
      </c>
      <c r="J16" t="s">
        <v>53</v>
      </c>
      <c r="K16">
        <v>25</v>
      </c>
      <c r="L16">
        <v>10</v>
      </c>
      <c r="M16" t="s">
        <v>19</v>
      </c>
      <c r="N16">
        <f t="shared" si="0"/>
        <v>6.2</v>
      </c>
      <c r="O16" t="b">
        <f t="shared" si="1"/>
        <v>1</v>
      </c>
    </row>
    <row r="17" spans="1:15">
      <c r="A17" t="s">
        <v>65</v>
      </c>
      <c r="B17" s="2">
        <v>46023</v>
      </c>
      <c r="C17" t="s">
        <v>66</v>
      </c>
      <c r="D17" t="s">
        <v>35</v>
      </c>
      <c r="E17" t="s">
        <v>59</v>
      </c>
      <c r="F17" t="s">
        <v>17</v>
      </c>
      <c r="G17">
        <v>3</v>
      </c>
      <c r="H17" s="3">
        <v>11.95</v>
      </c>
      <c r="I17" s="3">
        <v>35.85</v>
      </c>
      <c r="J17" t="s">
        <v>27</v>
      </c>
      <c r="K17">
        <v>8</v>
      </c>
      <c r="L17">
        <v>22</v>
      </c>
      <c r="M17" t="s">
        <v>19</v>
      </c>
      <c r="N17">
        <f t="shared" si="0"/>
        <v>35.849999999999994</v>
      </c>
      <c r="O17" t="b">
        <f t="shared" si="1"/>
        <v>1</v>
      </c>
    </row>
    <row r="18" spans="1:15">
      <c r="A18" t="s">
        <v>67</v>
      </c>
      <c r="B18" s="2">
        <v>46063</v>
      </c>
      <c r="C18" t="s">
        <v>29</v>
      </c>
      <c r="D18" t="s">
        <v>15</v>
      </c>
      <c r="E18" t="s">
        <v>36</v>
      </c>
      <c r="F18" t="s">
        <v>23</v>
      </c>
      <c r="G18">
        <v>2</v>
      </c>
      <c r="H18" s="3">
        <v>2.8</v>
      </c>
      <c r="I18" s="3">
        <v>5.6</v>
      </c>
      <c r="J18" t="s">
        <v>27</v>
      </c>
      <c r="K18">
        <v>6</v>
      </c>
      <c r="L18">
        <v>2</v>
      </c>
      <c r="M18" t="s">
        <v>19</v>
      </c>
      <c r="N18">
        <f t="shared" si="0"/>
        <v>5.6</v>
      </c>
      <c r="O18" t="b">
        <f t="shared" si="1"/>
        <v>1</v>
      </c>
    </row>
    <row r="19" spans="1:15">
      <c r="A19" t="s">
        <v>68</v>
      </c>
      <c r="B19" s="2">
        <v>46239</v>
      </c>
      <c r="C19" t="s">
        <v>69</v>
      </c>
      <c r="D19" t="s">
        <v>35</v>
      </c>
      <c r="E19" t="s">
        <v>70</v>
      </c>
      <c r="F19" t="s">
        <v>17</v>
      </c>
      <c r="G19">
        <v>2</v>
      </c>
      <c r="H19" s="3">
        <v>12.5</v>
      </c>
      <c r="I19" s="3">
        <v>25</v>
      </c>
      <c r="J19" t="s">
        <v>18</v>
      </c>
      <c r="K19">
        <v>22</v>
      </c>
      <c r="L19">
        <v>7</v>
      </c>
      <c r="M19" t="s">
        <v>19</v>
      </c>
      <c r="N19">
        <f t="shared" si="0"/>
        <v>25</v>
      </c>
      <c r="O19" t="b">
        <f t="shared" si="1"/>
        <v>1</v>
      </c>
    </row>
    <row r="20" spans="1:15">
      <c r="A20" t="s">
        <v>71</v>
      </c>
      <c r="B20" s="2">
        <v>46247</v>
      </c>
      <c r="C20" t="s">
        <v>34</v>
      </c>
      <c r="D20" t="s">
        <v>35</v>
      </c>
      <c r="E20" t="s">
        <v>16</v>
      </c>
      <c r="F20" t="s">
        <v>17</v>
      </c>
      <c r="G20">
        <v>1</v>
      </c>
      <c r="H20" s="3">
        <v>9.9499999999999993</v>
      </c>
      <c r="I20" s="3">
        <v>9.9499999999999993</v>
      </c>
      <c r="J20" t="s">
        <v>27</v>
      </c>
      <c r="K20">
        <v>19</v>
      </c>
      <c r="L20">
        <v>27</v>
      </c>
      <c r="M20" t="s">
        <v>19</v>
      </c>
      <c r="N20">
        <f t="shared" si="0"/>
        <v>9.9499999999999993</v>
      </c>
      <c r="O20" t="b">
        <f t="shared" si="1"/>
        <v>1</v>
      </c>
    </row>
    <row r="21" spans="1:15">
      <c r="A21" t="s">
        <v>72</v>
      </c>
      <c r="B21" s="2">
        <v>46059</v>
      </c>
      <c r="C21" t="s">
        <v>73</v>
      </c>
      <c r="D21" t="s">
        <v>35</v>
      </c>
      <c r="E21" t="s">
        <v>39</v>
      </c>
      <c r="F21" t="s">
        <v>17</v>
      </c>
      <c r="G21">
        <v>3</v>
      </c>
      <c r="H21" s="3">
        <v>12.95</v>
      </c>
      <c r="I21" s="3">
        <v>38.85</v>
      </c>
      <c r="J21" t="s">
        <v>18</v>
      </c>
      <c r="K21">
        <v>3</v>
      </c>
      <c r="L21">
        <v>21</v>
      </c>
      <c r="M21" t="s">
        <v>19</v>
      </c>
      <c r="N21">
        <f t="shared" si="0"/>
        <v>38.849999999999994</v>
      </c>
      <c r="O21" t="b">
        <f t="shared" si="1"/>
        <v>1</v>
      </c>
    </row>
    <row r="22" spans="1:15">
      <c r="A22" t="s">
        <v>74</v>
      </c>
      <c r="B22" s="2">
        <v>46165</v>
      </c>
      <c r="C22" t="s">
        <v>75</v>
      </c>
      <c r="D22" t="s">
        <v>35</v>
      </c>
      <c r="E22" t="s">
        <v>50</v>
      </c>
      <c r="F22" t="s">
        <v>17</v>
      </c>
      <c r="G22">
        <v>2</v>
      </c>
      <c r="H22" s="3">
        <v>14.5</v>
      </c>
      <c r="I22" s="3">
        <v>29</v>
      </c>
      <c r="J22" t="s">
        <v>32</v>
      </c>
      <c r="K22">
        <v>16</v>
      </c>
      <c r="L22">
        <v>16</v>
      </c>
      <c r="M22" t="s">
        <v>19</v>
      </c>
      <c r="N22">
        <f t="shared" si="0"/>
        <v>29</v>
      </c>
      <c r="O22" t="b">
        <f t="shared" si="1"/>
        <v>1</v>
      </c>
    </row>
    <row r="23" spans="1:15">
      <c r="A23" t="s">
        <v>76</v>
      </c>
      <c r="B23" s="2">
        <v>46120</v>
      </c>
      <c r="C23" t="s">
        <v>77</v>
      </c>
      <c r="D23" t="s">
        <v>15</v>
      </c>
      <c r="E23" t="s">
        <v>78</v>
      </c>
      <c r="F23" t="s">
        <v>47</v>
      </c>
      <c r="G23">
        <v>1</v>
      </c>
      <c r="H23" s="3">
        <v>7.25</v>
      </c>
      <c r="I23" s="3">
        <v>7.25</v>
      </c>
      <c r="J23" t="s">
        <v>18</v>
      </c>
      <c r="K23">
        <v>2</v>
      </c>
      <c r="L23">
        <v>13</v>
      </c>
      <c r="M23" t="s">
        <v>19</v>
      </c>
      <c r="N23">
        <f t="shared" si="0"/>
        <v>7.25</v>
      </c>
      <c r="O23" t="b">
        <f t="shared" si="1"/>
        <v>1</v>
      </c>
    </row>
    <row r="24" spans="1:15">
      <c r="A24" t="s">
        <v>79</v>
      </c>
      <c r="B24" s="2">
        <v>46073</v>
      </c>
      <c r="C24" t="s">
        <v>80</v>
      </c>
      <c r="D24" t="s">
        <v>15</v>
      </c>
      <c r="E24" t="s">
        <v>16</v>
      </c>
      <c r="F24" t="s">
        <v>17</v>
      </c>
      <c r="G24">
        <v>1</v>
      </c>
      <c r="H24" s="3">
        <v>9.9499999999999993</v>
      </c>
      <c r="I24" s="3">
        <v>9.9499999999999993</v>
      </c>
      <c r="J24" t="s">
        <v>18</v>
      </c>
      <c r="K24">
        <v>9</v>
      </c>
      <c r="L24">
        <v>10</v>
      </c>
      <c r="M24" t="s">
        <v>19</v>
      </c>
      <c r="N24">
        <f t="shared" si="0"/>
        <v>9.9499999999999993</v>
      </c>
      <c r="O24" t="b">
        <f t="shared" si="1"/>
        <v>1</v>
      </c>
    </row>
    <row r="25" spans="1:15">
      <c r="A25" t="s">
        <v>81</v>
      </c>
      <c r="B25" s="2">
        <v>46061</v>
      </c>
      <c r="C25" t="s">
        <v>82</v>
      </c>
      <c r="D25" t="s">
        <v>35</v>
      </c>
      <c r="E25" t="s">
        <v>83</v>
      </c>
      <c r="F25" t="s">
        <v>17</v>
      </c>
      <c r="G25">
        <v>2</v>
      </c>
      <c r="H25" s="3">
        <v>13.5</v>
      </c>
      <c r="I25" s="3">
        <v>27</v>
      </c>
      <c r="J25" t="s">
        <v>27</v>
      </c>
      <c r="K25">
        <v>27</v>
      </c>
      <c r="L25">
        <v>21</v>
      </c>
      <c r="M25" t="s">
        <v>19</v>
      </c>
      <c r="N25">
        <f t="shared" si="0"/>
        <v>27</v>
      </c>
      <c r="O25" t="b">
        <f t="shared" si="1"/>
        <v>1</v>
      </c>
    </row>
    <row r="26" spans="1:15">
      <c r="A26" t="s">
        <v>84</v>
      </c>
      <c r="B26" s="2">
        <v>46070</v>
      </c>
      <c r="C26" t="s">
        <v>85</v>
      </c>
      <c r="D26" t="s">
        <v>35</v>
      </c>
      <c r="E26" t="s">
        <v>78</v>
      </c>
      <c r="F26" t="s">
        <v>47</v>
      </c>
      <c r="G26">
        <v>1</v>
      </c>
      <c r="H26" s="3">
        <v>7.25</v>
      </c>
      <c r="I26" s="3">
        <v>7.25</v>
      </c>
      <c r="J26" t="s">
        <v>18</v>
      </c>
      <c r="K26">
        <v>6</v>
      </c>
      <c r="L26">
        <v>28</v>
      </c>
      <c r="M26" t="s">
        <v>19</v>
      </c>
      <c r="N26">
        <f t="shared" si="0"/>
        <v>7.25</v>
      </c>
      <c r="O26" t="b">
        <f t="shared" si="1"/>
        <v>1</v>
      </c>
    </row>
    <row r="27" spans="1:15">
      <c r="A27" t="s">
        <v>86</v>
      </c>
      <c r="B27" s="2">
        <v>46222</v>
      </c>
      <c r="C27" t="s">
        <v>43</v>
      </c>
      <c r="D27" t="s">
        <v>15</v>
      </c>
      <c r="E27" t="s">
        <v>78</v>
      </c>
      <c r="F27" t="s">
        <v>47</v>
      </c>
      <c r="G27">
        <v>2</v>
      </c>
      <c r="H27" s="3">
        <v>7.25</v>
      </c>
      <c r="I27" s="3">
        <v>14.5</v>
      </c>
      <c r="J27" t="s">
        <v>18</v>
      </c>
      <c r="K27">
        <v>26</v>
      </c>
      <c r="L27">
        <v>6</v>
      </c>
      <c r="M27" t="s">
        <v>19</v>
      </c>
      <c r="N27">
        <f t="shared" si="0"/>
        <v>14.5</v>
      </c>
      <c r="O27" t="b">
        <f t="shared" si="1"/>
        <v>1</v>
      </c>
    </row>
    <row r="28" spans="1:15">
      <c r="A28" t="s">
        <v>87</v>
      </c>
      <c r="B28" s="2">
        <v>46272</v>
      </c>
      <c r="C28" t="s">
        <v>14</v>
      </c>
      <c r="D28" t="s">
        <v>15</v>
      </c>
      <c r="E28" t="s">
        <v>83</v>
      </c>
      <c r="F28" t="s">
        <v>17</v>
      </c>
      <c r="G28">
        <v>1</v>
      </c>
      <c r="H28" s="3">
        <v>13.5</v>
      </c>
      <c r="I28" s="3">
        <v>13.5</v>
      </c>
      <c r="J28" t="s">
        <v>18</v>
      </c>
      <c r="K28">
        <v>2</v>
      </c>
      <c r="L28">
        <v>20</v>
      </c>
      <c r="M28" t="s">
        <v>19</v>
      </c>
      <c r="N28">
        <f t="shared" si="0"/>
        <v>13.5</v>
      </c>
      <c r="O28" t="b">
        <f t="shared" si="1"/>
        <v>1</v>
      </c>
    </row>
    <row r="29" spans="1:15">
      <c r="A29" t="s">
        <v>88</v>
      </c>
      <c r="B29" s="2">
        <v>46280</v>
      </c>
      <c r="C29" t="s">
        <v>89</v>
      </c>
      <c r="D29" t="s">
        <v>35</v>
      </c>
      <c r="E29" t="s">
        <v>83</v>
      </c>
      <c r="F29" t="s">
        <v>17</v>
      </c>
      <c r="G29">
        <v>3</v>
      </c>
      <c r="H29" s="3">
        <v>13.5</v>
      </c>
      <c r="I29" s="3">
        <v>40.5</v>
      </c>
      <c r="J29" t="s">
        <v>27</v>
      </c>
      <c r="K29">
        <v>28</v>
      </c>
      <c r="L29">
        <v>21</v>
      </c>
      <c r="M29" t="s">
        <v>19</v>
      </c>
      <c r="N29">
        <f t="shared" si="0"/>
        <v>40.5</v>
      </c>
      <c r="O29" t="b">
        <f t="shared" si="1"/>
        <v>1</v>
      </c>
    </row>
    <row r="30" spans="1:15">
      <c r="A30" t="s">
        <v>90</v>
      </c>
      <c r="B30" s="2">
        <v>46057</v>
      </c>
      <c r="C30" t="s">
        <v>91</v>
      </c>
      <c r="D30" t="s">
        <v>35</v>
      </c>
      <c r="E30" t="s">
        <v>59</v>
      </c>
      <c r="F30" t="s">
        <v>17</v>
      </c>
      <c r="G30">
        <v>3</v>
      </c>
      <c r="H30" s="3">
        <v>11.95</v>
      </c>
      <c r="I30" s="3">
        <v>35.85</v>
      </c>
      <c r="J30" t="s">
        <v>27</v>
      </c>
      <c r="K30">
        <v>20</v>
      </c>
      <c r="L30">
        <v>20</v>
      </c>
      <c r="M30" t="s">
        <v>19</v>
      </c>
      <c r="N30">
        <f t="shared" si="0"/>
        <v>35.849999999999994</v>
      </c>
      <c r="O30" t="b">
        <f t="shared" si="1"/>
        <v>1</v>
      </c>
    </row>
    <row r="31" spans="1:15">
      <c r="A31" t="s">
        <v>92</v>
      </c>
      <c r="B31" s="2">
        <v>46290</v>
      </c>
      <c r="C31" t="s">
        <v>14</v>
      </c>
      <c r="D31" t="s">
        <v>15</v>
      </c>
      <c r="E31" t="s">
        <v>93</v>
      </c>
      <c r="F31" t="s">
        <v>31</v>
      </c>
      <c r="G31">
        <v>1</v>
      </c>
      <c r="H31" s="3">
        <v>6.25</v>
      </c>
      <c r="I31" s="3">
        <v>6.25</v>
      </c>
      <c r="J31" t="s">
        <v>18</v>
      </c>
      <c r="K31">
        <v>5</v>
      </c>
      <c r="L31">
        <v>24</v>
      </c>
      <c r="M31" t="s">
        <v>19</v>
      </c>
      <c r="N31">
        <f t="shared" si="0"/>
        <v>6.25</v>
      </c>
      <c r="O31" t="b">
        <f t="shared" si="1"/>
        <v>1</v>
      </c>
    </row>
    <row r="32" spans="1:15">
      <c r="A32" t="s">
        <v>94</v>
      </c>
      <c r="B32" s="2">
        <v>46176</v>
      </c>
      <c r="C32" t="s">
        <v>95</v>
      </c>
      <c r="D32" t="s">
        <v>35</v>
      </c>
      <c r="E32" t="s">
        <v>96</v>
      </c>
      <c r="F32" t="s">
        <v>47</v>
      </c>
      <c r="G32">
        <v>2</v>
      </c>
      <c r="H32" s="3">
        <v>5.75</v>
      </c>
      <c r="I32" s="3">
        <v>11.5</v>
      </c>
      <c r="J32" t="s">
        <v>18</v>
      </c>
      <c r="K32">
        <v>7</v>
      </c>
      <c r="L32">
        <v>22</v>
      </c>
      <c r="M32" t="s">
        <v>19</v>
      </c>
      <c r="N32">
        <f t="shared" si="0"/>
        <v>11.5</v>
      </c>
      <c r="O32" t="b">
        <f t="shared" si="1"/>
        <v>1</v>
      </c>
    </row>
    <row r="33" spans="1:15">
      <c r="A33" t="s">
        <v>97</v>
      </c>
      <c r="B33" s="2">
        <v>46090</v>
      </c>
      <c r="C33" t="s">
        <v>73</v>
      </c>
      <c r="D33" t="s">
        <v>35</v>
      </c>
      <c r="E33" t="s">
        <v>30</v>
      </c>
      <c r="F33" t="s">
        <v>31</v>
      </c>
      <c r="G33">
        <v>1</v>
      </c>
      <c r="H33" s="3">
        <v>8.5</v>
      </c>
      <c r="I33" s="3">
        <v>8.5</v>
      </c>
      <c r="J33" t="s">
        <v>18</v>
      </c>
      <c r="K33">
        <v>27</v>
      </c>
      <c r="L33">
        <v>19</v>
      </c>
      <c r="M33" t="s">
        <v>19</v>
      </c>
      <c r="N33">
        <f t="shared" si="0"/>
        <v>8.5</v>
      </c>
      <c r="O33" t="b">
        <f t="shared" si="1"/>
        <v>1</v>
      </c>
    </row>
    <row r="34" spans="1:15">
      <c r="A34" t="s">
        <v>98</v>
      </c>
      <c r="B34" s="2">
        <v>46177</v>
      </c>
      <c r="C34" t="s">
        <v>99</v>
      </c>
      <c r="D34" t="s">
        <v>35</v>
      </c>
      <c r="E34" t="s">
        <v>26</v>
      </c>
      <c r="F34" t="s">
        <v>17</v>
      </c>
      <c r="G34">
        <v>2</v>
      </c>
      <c r="H34" s="3">
        <v>11.5</v>
      </c>
      <c r="I34" s="3">
        <v>23</v>
      </c>
      <c r="J34" t="s">
        <v>27</v>
      </c>
      <c r="K34">
        <v>29</v>
      </c>
      <c r="L34">
        <v>17</v>
      </c>
      <c r="M34" t="s">
        <v>19</v>
      </c>
      <c r="N34">
        <f t="shared" si="0"/>
        <v>23</v>
      </c>
      <c r="O34" t="b">
        <f t="shared" si="1"/>
        <v>1</v>
      </c>
    </row>
    <row r="35" spans="1:15">
      <c r="A35" t="s">
        <v>100</v>
      </c>
      <c r="B35" s="2">
        <v>46082</v>
      </c>
      <c r="C35" t="s">
        <v>99</v>
      </c>
      <c r="D35" t="s">
        <v>35</v>
      </c>
      <c r="E35" t="s">
        <v>50</v>
      </c>
      <c r="F35" t="s">
        <v>17</v>
      </c>
      <c r="G35">
        <v>1</v>
      </c>
      <c r="H35" s="3">
        <v>14.5</v>
      </c>
      <c r="I35" s="3">
        <v>14.5</v>
      </c>
      <c r="J35" t="s">
        <v>18</v>
      </c>
      <c r="K35">
        <v>7</v>
      </c>
      <c r="L35">
        <v>28</v>
      </c>
      <c r="M35" t="s">
        <v>19</v>
      </c>
      <c r="N35">
        <f t="shared" si="0"/>
        <v>14.5</v>
      </c>
      <c r="O35" t="b">
        <f t="shared" si="1"/>
        <v>1</v>
      </c>
    </row>
    <row r="36" spans="1:15">
      <c r="A36" t="s">
        <v>101</v>
      </c>
      <c r="B36" s="2">
        <v>46127</v>
      </c>
      <c r="C36" t="s">
        <v>102</v>
      </c>
      <c r="D36" t="s">
        <v>35</v>
      </c>
      <c r="E36" t="s">
        <v>103</v>
      </c>
      <c r="F36" t="s">
        <v>23</v>
      </c>
      <c r="G36">
        <v>1</v>
      </c>
      <c r="H36" s="3">
        <v>3.25</v>
      </c>
      <c r="I36" s="3">
        <v>3.25</v>
      </c>
      <c r="J36" t="s">
        <v>27</v>
      </c>
      <c r="K36">
        <v>9</v>
      </c>
      <c r="L36">
        <v>18</v>
      </c>
      <c r="M36" t="s">
        <v>19</v>
      </c>
      <c r="N36">
        <f t="shared" si="0"/>
        <v>3.25</v>
      </c>
      <c r="O36" t="b">
        <f t="shared" si="1"/>
        <v>1</v>
      </c>
    </row>
    <row r="37" spans="1:15">
      <c r="A37" t="s">
        <v>104</v>
      </c>
      <c r="B37" s="2">
        <v>46193</v>
      </c>
      <c r="C37" t="s">
        <v>105</v>
      </c>
      <c r="D37" t="s">
        <v>35</v>
      </c>
      <c r="E37" t="s">
        <v>106</v>
      </c>
      <c r="F37" t="s">
        <v>17</v>
      </c>
      <c r="G37">
        <v>2</v>
      </c>
      <c r="H37" s="3">
        <v>15.95</v>
      </c>
      <c r="I37" s="3">
        <v>31.9</v>
      </c>
      <c r="J37" t="s">
        <v>18</v>
      </c>
      <c r="K37">
        <v>23</v>
      </c>
      <c r="L37">
        <v>23</v>
      </c>
      <c r="M37" t="s">
        <v>19</v>
      </c>
      <c r="N37">
        <f t="shared" si="0"/>
        <v>31.9</v>
      </c>
      <c r="O37" t="b">
        <f t="shared" si="1"/>
        <v>1</v>
      </c>
    </row>
    <row r="38" spans="1:15">
      <c r="A38" t="s">
        <v>107</v>
      </c>
      <c r="B38" s="2">
        <v>46027</v>
      </c>
      <c r="C38" t="s">
        <v>108</v>
      </c>
      <c r="D38" t="s">
        <v>15</v>
      </c>
      <c r="E38" t="s">
        <v>83</v>
      </c>
      <c r="F38" t="s">
        <v>17</v>
      </c>
      <c r="G38">
        <v>2</v>
      </c>
      <c r="H38" s="3">
        <v>13.5</v>
      </c>
      <c r="I38" s="3">
        <v>27</v>
      </c>
      <c r="J38" t="s">
        <v>27</v>
      </c>
      <c r="K38">
        <v>2</v>
      </c>
      <c r="L38">
        <v>9</v>
      </c>
      <c r="M38" t="s">
        <v>19</v>
      </c>
      <c r="N38">
        <f t="shared" si="0"/>
        <v>27</v>
      </c>
      <c r="O38" t="b">
        <f t="shared" si="1"/>
        <v>1</v>
      </c>
    </row>
    <row r="39" spans="1:15">
      <c r="A39" t="s">
        <v>109</v>
      </c>
      <c r="B39" s="2">
        <v>46043</v>
      </c>
      <c r="C39" t="s">
        <v>110</v>
      </c>
      <c r="D39" t="s">
        <v>35</v>
      </c>
      <c r="E39" t="s">
        <v>16</v>
      </c>
      <c r="F39" t="s">
        <v>17</v>
      </c>
      <c r="G39">
        <v>2</v>
      </c>
      <c r="H39" s="3">
        <v>9.9499999999999993</v>
      </c>
      <c r="I39" s="3">
        <v>19.899999999999999</v>
      </c>
      <c r="J39" t="s">
        <v>18</v>
      </c>
      <c r="K39">
        <v>25</v>
      </c>
      <c r="L39">
        <v>17</v>
      </c>
      <c r="M39" t="s">
        <v>19</v>
      </c>
      <c r="N39">
        <f t="shared" si="0"/>
        <v>19.899999999999999</v>
      </c>
      <c r="O39" t="b">
        <f t="shared" si="1"/>
        <v>1</v>
      </c>
    </row>
    <row r="40" spans="1:15">
      <c r="A40" t="s">
        <v>111</v>
      </c>
      <c r="B40" s="2">
        <v>46231</v>
      </c>
      <c r="C40" t="s">
        <v>112</v>
      </c>
      <c r="D40" t="s">
        <v>35</v>
      </c>
      <c r="E40" t="s">
        <v>16</v>
      </c>
      <c r="F40" t="s">
        <v>17</v>
      </c>
      <c r="G40">
        <v>2</v>
      </c>
      <c r="H40" s="3">
        <v>9.9499999999999993</v>
      </c>
      <c r="I40" s="3">
        <v>19.899999999999999</v>
      </c>
      <c r="J40" t="s">
        <v>53</v>
      </c>
      <c r="K40">
        <v>24</v>
      </c>
      <c r="L40">
        <v>20</v>
      </c>
      <c r="M40" t="s">
        <v>19</v>
      </c>
      <c r="N40">
        <f t="shared" si="0"/>
        <v>19.899999999999999</v>
      </c>
      <c r="O40" t="b">
        <f t="shared" si="1"/>
        <v>1</v>
      </c>
    </row>
    <row r="41" spans="1:15">
      <c r="A41" t="s">
        <v>113</v>
      </c>
      <c r="B41" s="2">
        <v>46233</v>
      </c>
      <c r="C41" t="s">
        <v>114</v>
      </c>
      <c r="D41" t="s">
        <v>35</v>
      </c>
      <c r="E41" t="s">
        <v>41</v>
      </c>
      <c r="F41" t="s">
        <v>31</v>
      </c>
      <c r="G41">
        <v>1</v>
      </c>
      <c r="H41" s="3">
        <v>5.5</v>
      </c>
      <c r="I41" s="3">
        <v>5.5</v>
      </c>
      <c r="J41" t="s">
        <v>18</v>
      </c>
      <c r="K41">
        <v>4</v>
      </c>
      <c r="L41">
        <v>19</v>
      </c>
      <c r="M41" t="s">
        <v>19</v>
      </c>
      <c r="N41">
        <f t="shared" si="0"/>
        <v>5.5</v>
      </c>
      <c r="O41" t="b">
        <f t="shared" si="1"/>
        <v>1</v>
      </c>
    </row>
    <row r="42" spans="1:15">
      <c r="A42" t="s">
        <v>115</v>
      </c>
      <c r="B42" s="2">
        <v>46042</v>
      </c>
      <c r="C42" t="s">
        <v>116</v>
      </c>
      <c r="D42" t="s">
        <v>35</v>
      </c>
      <c r="E42" t="s">
        <v>96</v>
      </c>
      <c r="F42" t="s">
        <v>47</v>
      </c>
      <c r="G42">
        <v>1</v>
      </c>
      <c r="H42" s="3">
        <v>5.75</v>
      </c>
      <c r="I42" s="3">
        <v>5.75</v>
      </c>
      <c r="J42" t="s">
        <v>27</v>
      </c>
      <c r="K42">
        <v>13</v>
      </c>
      <c r="L42">
        <v>21</v>
      </c>
      <c r="M42" t="s">
        <v>19</v>
      </c>
      <c r="N42">
        <f t="shared" si="0"/>
        <v>5.75</v>
      </c>
      <c r="O42" t="b">
        <f t="shared" si="1"/>
        <v>1</v>
      </c>
    </row>
    <row r="43" spans="1:15">
      <c r="A43" t="s">
        <v>117</v>
      </c>
      <c r="B43" s="2">
        <v>46058</v>
      </c>
      <c r="C43" t="s">
        <v>118</v>
      </c>
      <c r="D43" t="s">
        <v>35</v>
      </c>
      <c r="E43" t="s">
        <v>22</v>
      </c>
      <c r="F43" t="s">
        <v>23</v>
      </c>
      <c r="G43">
        <v>1</v>
      </c>
      <c r="H43" s="3">
        <v>3.1</v>
      </c>
      <c r="I43" s="3">
        <v>3.1</v>
      </c>
      <c r="J43" t="s">
        <v>53</v>
      </c>
      <c r="K43">
        <v>11</v>
      </c>
      <c r="L43">
        <v>21</v>
      </c>
      <c r="M43" t="s">
        <v>19</v>
      </c>
      <c r="N43">
        <f t="shared" si="0"/>
        <v>3.1</v>
      </c>
      <c r="O43" t="b">
        <f t="shared" si="1"/>
        <v>1</v>
      </c>
    </row>
    <row r="44" spans="1:15">
      <c r="A44" t="s">
        <v>119</v>
      </c>
      <c r="B44" s="2">
        <v>46082</v>
      </c>
      <c r="C44" t="s">
        <v>120</v>
      </c>
      <c r="D44" t="s">
        <v>35</v>
      </c>
      <c r="E44" t="s">
        <v>121</v>
      </c>
      <c r="F44" t="s">
        <v>23</v>
      </c>
      <c r="G44">
        <v>3</v>
      </c>
      <c r="H44" s="3">
        <v>6.5</v>
      </c>
      <c r="I44" s="3">
        <v>19.5</v>
      </c>
      <c r="J44" t="s">
        <v>18</v>
      </c>
      <c r="K44">
        <v>12</v>
      </c>
      <c r="L44">
        <v>20</v>
      </c>
      <c r="M44" t="s">
        <v>19</v>
      </c>
      <c r="N44">
        <f t="shared" si="0"/>
        <v>19.5</v>
      </c>
      <c r="O44" t="b">
        <f t="shared" si="1"/>
        <v>1</v>
      </c>
    </row>
    <row r="45" spans="1:15">
      <c r="A45" t="s">
        <v>122</v>
      </c>
      <c r="B45" s="2">
        <v>46183</v>
      </c>
      <c r="C45" t="s">
        <v>82</v>
      </c>
      <c r="D45" t="s">
        <v>35</v>
      </c>
      <c r="E45" t="s">
        <v>46</v>
      </c>
      <c r="F45" t="s">
        <v>47</v>
      </c>
      <c r="G45">
        <v>3</v>
      </c>
      <c r="H45" s="3">
        <v>6.95</v>
      </c>
      <c r="I45" s="3">
        <v>20.85</v>
      </c>
      <c r="J45" t="s">
        <v>27</v>
      </c>
      <c r="K45">
        <v>9</v>
      </c>
      <c r="L45">
        <v>21</v>
      </c>
      <c r="M45" t="s">
        <v>19</v>
      </c>
      <c r="N45">
        <f t="shared" si="0"/>
        <v>20.85</v>
      </c>
      <c r="O45" t="b">
        <f t="shared" si="1"/>
        <v>1</v>
      </c>
    </row>
    <row r="46" spans="1:15">
      <c r="A46" t="s">
        <v>123</v>
      </c>
      <c r="B46" s="2">
        <v>46246</v>
      </c>
      <c r="C46" t="s">
        <v>124</v>
      </c>
      <c r="D46" t="s">
        <v>15</v>
      </c>
      <c r="E46" t="s">
        <v>70</v>
      </c>
      <c r="F46" t="s">
        <v>17</v>
      </c>
      <c r="G46">
        <v>1</v>
      </c>
      <c r="H46" s="3">
        <v>12.5</v>
      </c>
      <c r="I46" s="3">
        <v>12.5</v>
      </c>
      <c r="J46" t="s">
        <v>27</v>
      </c>
      <c r="K46">
        <v>20</v>
      </c>
      <c r="L46">
        <v>28</v>
      </c>
      <c r="M46" t="s">
        <v>19</v>
      </c>
      <c r="N46">
        <f t="shared" si="0"/>
        <v>12.5</v>
      </c>
      <c r="O46" t="b">
        <f t="shared" si="1"/>
        <v>1</v>
      </c>
    </row>
    <row r="47" spans="1:15">
      <c r="A47" t="s">
        <v>125</v>
      </c>
      <c r="B47" s="2">
        <v>46086</v>
      </c>
      <c r="C47" t="s">
        <v>102</v>
      </c>
      <c r="D47" t="s">
        <v>35</v>
      </c>
      <c r="E47" t="s">
        <v>126</v>
      </c>
      <c r="F47" t="s">
        <v>31</v>
      </c>
      <c r="G47">
        <v>2</v>
      </c>
      <c r="H47" s="3">
        <v>7.95</v>
      </c>
      <c r="I47" s="3">
        <v>15.9</v>
      </c>
      <c r="J47" t="s">
        <v>18</v>
      </c>
      <c r="K47">
        <v>13</v>
      </c>
      <c r="L47">
        <v>15</v>
      </c>
      <c r="M47" t="s">
        <v>19</v>
      </c>
      <c r="N47">
        <f t="shared" si="0"/>
        <v>15.9</v>
      </c>
      <c r="O47" t="b">
        <f t="shared" si="1"/>
        <v>1</v>
      </c>
    </row>
    <row r="48" spans="1:15">
      <c r="A48" t="s">
        <v>127</v>
      </c>
      <c r="B48" s="2">
        <v>46088</v>
      </c>
      <c r="C48" t="s">
        <v>128</v>
      </c>
      <c r="D48" t="s">
        <v>15</v>
      </c>
      <c r="E48" t="s">
        <v>106</v>
      </c>
      <c r="F48" t="s">
        <v>17</v>
      </c>
      <c r="G48">
        <v>2</v>
      </c>
      <c r="H48" s="3">
        <v>15.95</v>
      </c>
      <c r="I48" s="3">
        <v>31.9</v>
      </c>
      <c r="J48" t="s">
        <v>27</v>
      </c>
      <c r="K48">
        <v>10</v>
      </c>
      <c r="L48">
        <v>6</v>
      </c>
      <c r="M48" t="s">
        <v>19</v>
      </c>
      <c r="N48">
        <f t="shared" si="0"/>
        <v>31.9</v>
      </c>
      <c r="O48" t="b">
        <f t="shared" si="1"/>
        <v>1</v>
      </c>
    </row>
    <row r="49" spans="1:15">
      <c r="A49" t="s">
        <v>129</v>
      </c>
      <c r="B49" s="2">
        <v>46243</v>
      </c>
      <c r="C49" t="s">
        <v>130</v>
      </c>
      <c r="D49" t="s">
        <v>35</v>
      </c>
      <c r="E49" t="s">
        <v>93</v>
      </c>
      <c r="F49" t="s">
        <v>31</v>
      </c>
      <c r="G49">
        <v>1</v>
      </c>
      <c r="H49" s="3">
        <v>6.25</v>
      </c>
      <c r="I49" s="3">
        <v>6.25</v>
      </c>
      <c r="J49" t="s">
        <v>27</v>
      </c>
      <c r="K49">
        <v>22</v>
      </c>
      <c r="L49">
        <v>26</v>
      </c>
      <c r="M49" t="s">
        <v>19</v>
      </c>
      <c r="N49">
        <f t="shared" si="0"/>
        <v>6.25</v>
      </c>
      <c r="O49" t="b">
        <f t="shared" si="1"/>
        <v>1</v>
      </c>
    </row>
    <row r="50" spans="1:15">
      <c r="A50" t="s">
        <v>131</v>
      </c>
      <c r="B50" s="2">
        <v>46265</v>
      </c>
      <c r="C50" t="s">
        <v>112</v>
      </c>
      <c r="D50" t="s">
        <v>35</v>
      </c>
      <c r="E50" t="s">
        <v>39</v>
      </c>
      <c r="F50" t="s">
        <v>17</v>
      </c>
      <c r="G50">
        <v>1</v>
      </c>
      <c r="H50" s="3">
        <v>12.95</v>
      </c>
      <c r="I50" s="3">
        <v>12.95</v>
      </c>
      <c r="J50" t="s">
        <v>53</v>
      </c>
      <c r="K50">
        <v>27</v>
      </c>
      <c r="L50">
        <v>16</v>
      </c>
      <c r="M50" t="s">
        <v>19</v>
      </c>
      <c r="N50">
        <f t="shared" si="0"/>
        <v>12.95</v>
      </c>
      <c r="O50" t="b">
        <f t="shared" si="1"/>
        <v>1</v>
      </c>
    </row>
    <row r="51" spans="1:15">
      <c r="A51" t="s">
        <v>132</v>
      </c>
      <c r="B51" s="2">
        <v>46143</v>
      </c>
      <c r="C51" t="s">
        <v>116</v>
      </c>
      <c r="D51" t="s">
        <v>35</v>
      </c>
      <c r="E51" t="s">
        <v>50</v>
      </c>
      <c r="F51" t="s">
        <v>17</v>
      </c>
      <c r="G51">
        <v>1</v>
      </c>
      <c r="H51" s="3">
        <v>14.5</v>
      </c>
      <c r="I51" s="3">
        <v>14.5</v>
      </c>
      <c r="J51" t="s">
        <v>18</v>
      </c>
      <c r="K51">
        <v>16</v>
      </c>
      <c r="L51">
        <v>15</v>
      </c>
      <c r="M51" t="s">
        <v>19</v>
      </c>
      <c r="N51">
        <f t="shared" si="0"/>
        <v>14.5</v>
      </c>
      <c r="O51" t="b">
        <f t="shared" si="1"/>
        <v>1</v>
      </c>
    </row>
    <row r="52" spans="1:15">
      <c r="A52" t="s">
        <v>133</v>
      </c>
      <c r="B52" s="2">
        <v>46060</v>
      </c>
      <c r="C52" t="s">
        <v>134</v>
      </c>
      <c r="D52" t="s">
        <v>35</v>
      </c>
      <c r="E52" t="s">
        <v>70</v>
      </c>
      <c r="F52" t="s">
        <v>17</v>
      </c>
      <c r="G52">
        <v>2</v>
      </c>
      <c r="H52" s="3">
        <v>12.5</v>
      </c>
      <c r="I52" s="3">
        <v>25</v>
      </c>
      <c r="J52" t="s">
        <v>18</v>
      </c>
      <c r="K52">
        <v>21</v>
      </c>
      <c r="L52">
        <v>15</v>
      </c>
      <c r="M52" t="s">
        <v>19</v>
      </c>
      <c r="N52">
        <f t="shared" si="0"/>
        <v>25</v>
      </c>
      <c r="O52" t="b">
        <f t="shared" si="1"/>
        <v>1</v>
      </c>
    </row>
    <row r="53" spans="1:15">
      <c r="A53" t="s">
        <v>135</v>
      </c>
      <c r="B53" s="2">
        <v>46077</v>
      </c>
      <c r="C53" t="s">
        <v>85</v>
      </c>
      <c r="D53" t="s">
        <v>35</v>
      </c>
      <c r="E53" t="s">
        <v>22</v>
      </c>
      <c r="F53" t="s">
        <v>23</v>
      </c>
      <c r="G53">
        <v>1</v>
      </c>
      <c r="H53" s="3">
        <v>3.1</v>
      </c>
      <c r="I53" s="3">
        <v>3.1</v>
      </c>
      <c r="J53" t="s">
        <v>53</v>
      </c>
      <c r="K53">
        <v>8</v>
      </c>
      <c r="L53">
        <v>13</v>
      </c>
      <c r="M53" t="s">
        <v>19</v>
      </c>
      <c r="N53">
        <f t="shared" si="0"/>
        <v>3.1</v>
      </c>
      <c r="O53" t="b">
        <f t="shared" si="1"/>
        <v>1</v>
      </c>
    </row>
    <row r="54" spans="1:15">
      <c r="A54" t="s">
        <v>136</v>
      </c>
      <c r="B54" s="2">
        <v>46085</v>
      </c>
      <c r="C54" t="s">
        <v>137</v>
      </c>
      <c r="D54" t="s">
        <v>35</v>
      </c>
      <c r="E54" t="s">
        <v>22</v>
      </c>
      <c r="F54" t="s">
        <v>23</v>
      </c>
      <c r="G54">
        <v>4</v>
      </c>
      <c r="H54" s="3">
        <v>3.1</v>
      </c>
      <c r="I54" s="3">
        <v>12.4</v>
      </c>
      <c r="J54" t="s">
        <v>18</v>
      </c>
      <c r="K54">
        <v>15</v>
      </c>
      <c r="L54">
        <v>8</v>
      </c>
      <c r="M54" t="s">
        <v>19</v>
      </c>
      <c r="N54">
        <f t="shared" si="0"/>
        <v>12.4</v>
      </c>
      <c r="O54" t="b">
        <f t="shared" si="1"/>
        <v>1</v>
      </c>
    </row>
    <row r="55" spans="1:15">
      <c r="A55" t="s">
        <v>138</v>
      </c>
      <c r="B55" s="2">
        <v>46281</v>
      </c>
      <c r="C55" t="s">
        <v>139</v>
      </c>
      <c r="D55" t="s">
        <v>35</v>
      </c>
      <c r="E55" t="s">
        <v>106</v>
      </c>
      <c r="F55" t="s">
        <v>17</v>
      </c>
      <c r="G55">
        <v>2</v>
      </c>
      <c r="H55" s="3">
        <v>15.95</v>
      </c>
      <c r="I55" s="3">
        <v>31.9</v>
      </c>
      <c r="J55" t="s">
        <v>27</v>
      </c>
      <c r="K55">
        <v>15</v>
      </c>
      <c r="L55">
        <v>29</v>
      </c>
      <c r="M55" t="s">
        <v>19</v>
      </c>
      <c r="N55">
        <f t="shared" si="0"/>
        <v>31.9</v>
      </c>
      <c r="O55" t="b">
        <f t="shared" si="1"/>
        <v>1</v>
      </c>
    </row>
    <row r="56" spans="1:15">
      <c r="A56" t="s">
        <v>140</v>
      </c>
      <c r="B56" s="2">
        <v>46149</v>
      </c>
      <c r="C56" t="s">
        <v>102</v>
      </c>
      <c r="D56" t="s">
        <v>35</v>
      </c>
      <c r="E56" t="s">
        <v>103</v>
      </c>
      <c r="F56" t="s">
        <v>23</v>
      </c>
      <c r="G56">
        <v>2</v>
      </c>
      <c r="H56" s="3">
        <v>3.25</v>
      </c>
      <c r="I56" s="3">
        <v>6.5</v>
      </c>
      <c r="J56" t="s">
        <v>27</v>
      </c>
      <c r="K56">
        <v>8</v>
      </c>
      <c r="L56">
        <v>4</v>
      </c>
      <c r="M56" t="s">
        <v>19</v>
      </c>
      <c r="N56">
        <f t="shared" si="0"/>
        <v>6.5</v>
      </c>
      <c r="O56" t="b">
        <f t="shared" si="1"/>
        <v>1</v>
      </c>
    </row>
    <row r="57" spans="1:15">
      <c r="A57" t="s">
        <v>141</v>
      </c>
      <c r="B57" s="2">
        <v>46186</v>
      </c>
      <c r="C57" t="s">
        <v>142</v>
      </c>
      <c r="D57" t="s">
        <v>35</v>
      </c>
      <c r="E57" t="s">
        <v>50</v>
      </c>
      <c r="F57" t="s">
        <v>17</v>
      </c>
      <c r="G57">
        <v>1</v>
      </c>
      <c r="H57" s="3">
        <v>14.5</v>
      </c>
      <c r="I57" s="3">
        <v>14.5</v>
      </c>
      <c r="J57" t="s">
        <v>18</v>
      </c>
      <c r="K57">
        <v>5</v>
      </c>
      <c r="L57">
        <v>23</v>
      </c>
      <c r="M57" t="s">
        <v>19</v>
      </c>
      <c r="N57">
        <f t="shared" si="0"/>
        <v>14.5</v>
      </c>
      <c r="O57" t="b">
        <f t="shared" si="1"/>
        <v>1</v>
      </c>
    </row>
    <row r="58" spans="1:15">
      <c r="A58" t="s">
        <v>143</v>
      </c>
      <c r="B58" s="2">
        <v>46055</v>
      </c>
      <c r="C58" t="s">
        <v>102</v>
      </c>
      <c r="D58" t="s">
        <v>35</v>
      </c>
      <c r="E58" t="s">
        <v>96</v>
      </c>
      <c r="F58" t="s">
        <v>47</v>
      </c>
      <c r="G58">
        <v>1</v>
      </c>
      <c r="H58" s="3">
        <v>5.75</v>
      </c>
      <c r="I58" s="3">
        <v>5.75</v>
      </c>
      <c r="J58" t="s">
        <v>18</v>
      </c>
      <c r="K58">
        <v>25</v>
      </c>
      <c r="L58">
        <v>22</v>
      </c>
      <c r="M58" t="s">
        <v>19</v>
      </c>
      <c r="N58">
        <f t="shared" si="0"/>
        <v>5.75</v>
      </c>
      <c r="O58" t="b">
        <f t="shared" si="1"/>
        <v>1</v>
      </c>
    </row>
    <row r="59" spans="1:15">
      <c r="A59" t="s">
        <v>144</v>
      </c>
      <c r="B59" s="2">
        <v>46033</v>
      </c>
      <c r="C59" t="s">
        <v>145</v>
      </c>
      <c r="D59" t="s">
        <v>35</v>
      </c>
      <c r="E59" t="s">
        <v>103</v>
      </c>
      <c r="F59" t="s">
        <v>23</v>
      </c>
      <c r="G59">
        <v>1</v>
      </c>
      <c r="H59" s="3">
        <v>3.25</v>
      </c>
      <c r="I59" s="3">
        <v>3.25</v>
      </c>
      <c r="J59" t="s">
        <v>32</v>
      </c>
      <c r="K59">
        <v>10</v>
      </c>
      <c r="L59">
        <v>7</v>
      </c>
      <c r="M59" t="s">
        <v>19</v>
      </c>
      <c r="N59">
        <f t="shared" si="0"/>
        <v>3.25</v>
      </c>
      <c r="O59" t="b">
        <f t="shared" si="1"/>
        <v>1</v>
      </c>
    </row>
    <row r="60" spans="1:15">
      <c r="A60" t="s">
        <v>146</v>
      </c>
      <c r="B60" s="2">
        <v>46237</v>
      </c>
      <c r="C60" t="s">
        <v>99</v>
      </c>
      <c r="D60" t="s">
        <v>35</v>
      </c>
      <c r="E60" t="s">
        <v>56</v>
      </c>
      <c r="F60" t="s">
        <v>23</v>
      </c>
      <c r="G60">
        <v>3</v>
      </c>
      <c r="H60" s="3">
        <v>3.75</v>
      </c>
      <c r="I60" s="3">
        <v>11.25</v>
      </c>
      <c r="J60" t="s">
        <v>18</v>
      </c>
      <c r="K60">
        <v>1</v>
      </c>
      <c r="L60">
        <v>14</v>
      </c>
      <c r="M60" t="s">
        <v>19</v>
      </c>
      <c r="N60">
        <f t="shared" si="0"/>
        <v>11.25</v>
      </c>
      <c r="O60" t="b">
        <f t="shared" si="1"/>
        <v>1</v>
      </c>
    </row>
    <row r="61" spans="1:15">
      <c r="A61" t="s">
        <v>147</v>
      </c>
      <c r="B61" s="2">
        <v>46230</v>
      </c>
      <c r="C61" t="s">
        <v>148</v>
      </c>
      <c r="D61" t="s">
        <v>35</v>
      </c>
      <c r="E61" t="s">
        <v>56</v>
      </c>
      <c r="F61" t="s">
        <v>23</v>
      </c>
      <c r="G61">
        <v>1</v>
      </c>
      <c r="H61" s="3">
        <v>3.75</v>
      </c>
      <c r="I61" s="3">
        <v>3.75</v>
      </c>
      <c r="J61" t="s">
        <v>18</v>
      </c>
      <c r="K61">
        <v>19</v>
      </c>
      <c r="L61">
        <v>19</v>
      </c>
      <c r="M61" t="s">
        <v>19</v>
      </c>
      <c r="N61">
        <f t="shared" si="0"/>
        <v>3.75</v>
      </c>
      <c r="O61" t="b">
        <f t="shared" si="1"/>
        <v>1</v>
      </c>
    </row>
    <row r="62" spans="1:15">
      <c r="A62" t="s">
        <v>149</v>
      </c>
      <c r="B62" s="2">
        <v>46036</v>
      </c>
      <c r="C62" t="s">
        <v>150</v>
      </c>
      <c r="D62" t="s">
        <v>15</v>
      </c>
      <c r="E62" t="s">
        <v>96</v>
      </c>
      <c r="F62" t="s">
        <v>47</v>
      </c>
      <c r="G62">
        <v>1</v>
      </c>
      <c r="H62" s="3">
        <v>5.75</v>
      </c>
      <c r="I62" s="3">
        <v>5.75</v>
      </c>
      <c r="J62" t="s">
        <v>27</v>
      </c>
      <c r="K62">
        <v>11</v>
      </c>
      <c r="L62">
        <v>12</v>
      </c>
      <c r="M62" t="s">
        <v>19</v>
      </c>
      <c r="N62">
        <f t="shared" si="0"/>
        <v>5.75</v>
      </c>
      <c r="O62" t="b">
        <f t="shared" si="1"/>
        <v>1</v>
      </c>
    </row>
    <row r="63" spans="1:15">
      <c r="A63" t="s">
        <v>151</v>
      </c>
      <c r="B63" s="2">
        <v>46217</v>
      </c>
      <c r="C63" t="s">
        <v>43</v>
      </c>
      <c r="D63" t="s">
        <v>15</v>
      </c>
      <c r="E63" t="s">
        <v>39</v>
      </c>
      <c r="F63" t="s">
        <v>17</v>
      </c>
      <c r="G63">
        <v>1</v>
      </c>
      <c r="H63" s="3">
        <v>12.95</v>
      </c>
      <c r="I63" s="3">
        <v>0</v>
      </c>
      <c r="J63" t="s">
        <v>27</v>
      </c>
      <c r="K63">
        <v>18</v>
      </c>
      <c r="L63">
        <v>18</v>
      </c>
      <c r="M63" t="s">
        <v>152</v>
      </c>
      <c r="N63">
        <f t="shared" si="0"/>
        <v>12.95</v>
      </c>
      <c r="O63" t="b">
        <f t="shared" si="1"/>
        <v>1</v>
      </c>
    </row>
    <row r="64" spans="1:15">
      <c r="A64" t="s">
        <v>153</v>
      </c>
      <c r="B64" s="2">
        <v>46202</v>
      </c>
      <c r="C64" t="s">
        <v>154</v>
      </c>
      <c r="D64" t="s">
        <v>15</v>
      </c>
      <c r="E64" t="s">
        <v>83</v>
      </c>
      <c r="F64" t="s">
        <v>17</v>
      </c>
      <c r="G64">
        <v>2</v>
      </c>
      <c r="H64" s="3">
        <v>13.5</v>
      </c>
      <c r="I64" s="3">
        <v>27</v>
      </c>
      <c r="J64" t="s">
        <v>27</v>
      </c>
      <c r="K64">
        <v>5</v>
      </c>
      <c r="L64">
        <v>16</v>
      </c>
      <c r="M64" t="s">
        <v>19</v>
      </c>
      <c r="N64">
        <f t="shared" si="0"/>
        <v>27</v>
      </c>
      <c r="O64" t="b">
        <f t="shared" si="1"/>
        <v>1</v>
      </c>
    </row>
    <row r="65" spans="1:15">
      <c r="A65" t="s">
        <v>155</v>
      </c>
      <c r="B65" s="2">
        <v>46265</v>
      </c>
      <c r="C65" t="s">
        <v>156</v>
      </c>
      <c r="D65" t="s">
        <v>35</v>
      </c>
      <c r="E65" t="s">
        <v>96</v>
      </c>
      <c r="F65" t="s">
        <v>47</v>
      </c>
      <c r="G65">
        <v>2</v>
      </c>
      <c r="H65" s="3">
        <v>5.75</v>
      </c>
      <c r="I65" s="3">
        <v>-11.5</v>
      </c>
      <c r="J65" t="s">
        <v>27</v>
      </c>
      <c r="K65">
        <v>12</v>
      </c>
      <c r="L65">
        <v>21</v>
      </c>
      <c r="M65" t="s">
        <v>62</v>
      </c>
      <c r="N65">
        <f t="shared" si="0"/>
        <v>11.5</v>
      </c>
      <c r="O65" t="b">
        <f t="shared" si="1"/>
        <v>1</v>
      </c>
    </row>
    <row r="66" spans="1:15">
      <c r="A66" t="s">
        <v>157</v>
      </c>
      <c r="B66" s="2">
        <v>46081</v>
      </c>
      <c r="C66" t="s">
        <v>158</v>
      </c>
      <c r="D66" t="s">
        <v>35</v>
      </c>
      <c r="E66" t="s">
        <v>59</v>
      </c>
      <c r="F66" t="s">
        <v>17</v>
      </c>
      <c r="G66">
        <v>1</v>
      </c>
      <c r="H66" s="3">
        <v>11.95</v>
      </c>
      <c r="I66" s="3">
        <v>11.95</v>
      </c>
      <c r="J66" t="s">
        <v>18</v>
      </c>
      <c r="K66">
        <v>13</v>
      </c>
      <c r="L66">
        <v>8</v>
      </c>
      <c r="M66" t="s">
        <v>19</v>
      </c>
      <c r="N66">
        <f t="shared" ref="N66:N129" si="2">G66*H66</f>
        <v>11.95</v>
      </c>
      <c r="O66" t="b">
        <f t="shared" ref="O66:O129" si="3">OR(AND(M66="Completed",I66=N66),AND(M66="Refunded",ABS(I66)=N66),AND(M66="Cancelled",I66=0))</f>
        <v>1</v>
      </c>
    </row>
    <row r="67" spans="1:15">
      <c r="A67" t="s">
        <v>159</v>
      </c>
      <c r="B67" s="2">
        <v>46124</v>
      </c>
      <c r="C67" t="s">
        <v>160</v>
      </c>
      <c r="D67" t="s">
        <v>15</v>
      </c>
      <c r="E67" t="s">
        <v>126</v>
      </c>
      <c r="F67" t="s">
        <v>31</v>
      </c>
      <c r="G67">
        <v>2</v>
      </c>
      <c r="H67" s="3">
        <v>7.95</v>
      </c>
      <c r="I67" s="3">
        <v>15.9</v>
      </c>
      <c r="J67" t="s">
        <v>27</v>
      </c>
      <c r="K67">
        <v>26</v>
      </c>
      <c r="L67">
        <v>9</v>
      </c>
      <c r="M67" t="s">
        <v>19</v>
      </c>
      <c r="N67">
        <f t="shared" si="2"/>
        <v>15.9</v>
      </c>
      <c r="O67" t="b">
        <f t="shared" si="3"/>
        <v>1</v>
      </c>
    </row>
    <row r="68" spans="1:15">
      <c r="A68" t="s">
        <v>161</v>
      </c>
      <c r="B68" s="2">
        <v>46044</v>
      </c>
      <c r="C68" t="s">
        <v>128</v>
      </c>
      <c r="D68" t="s">
        <v>15</v>
      </c>
      <c r="E68" t="s">
        <v>30</v>
      </c>
      <c r="F68" t="s">
        <v>31</v>
      </c>
      <c r="G68">
        <v>1</v>
      </c>
      <c r="H68" s="3">
        <v>8.5</v>
      </c>
      <c r="I68" s="3">
        <v>8.5</v>
      </c>
      <c r="J68" t="s">
        <v>18</v>
      </c>
      <c r="K68">
        <v>27</v>
      </c>
      <c r="L68">
        <v>9</v>
      </c>
      <c r="M68" t="s">
        <v>19</v>
      </c>
      <c r="N68">
        <f t="shared" si="2"/>
        <v>8.5</v>
      </c>
      <c r="O68" t="b">
        <f t="shared" si="3"/>
        <v>1</v>
      </c>
    </row>
    <row r="69" spans="1:15">
      <c r="A69" t="s">
        <v>162</v>
      </c>
      <c r="B69" s="2">
        <v>46244</v>
      </c>
      <c r="C69" t="s">
        <v>49</v>
      </c>
      <c r="D69" t="s">
        <v>35</v>
      </c>
      <c r="E69" t="s">
        <v>50</v>
      </c>
      <c r="F69" t="s">
        <v>17</v>
      </c>
      <c r="G69">
        <v>1</v>
      </c>
      <c r="H69" s="3">
        <v>14.5</v>
      </c>
      <c r="I69" s="3">
        <v>14.5</v>
      </c>
      <c r="J69" t="s">
        <v>53</v>
      </c>
      <c r="K69">
        <v>17</v>
      </c>
      <c r="L69">
        <v>29</v>
      </c>
      <c r="M69" t="s">
        <v>19</v>
      </c>
      <c r="N69">
        <f t="shared" si="2"/>
        <v>14.5</v>
      </c>
      <c r="O69" t="b">
        <f t="shared" si="3"/>
        <v>1</v>
      </c>
    </row>
    <row r="70" spans="1:15">
      <c r="A70" t="s">
        <v>163</v>
      </c>
      <c r="B70" s="2">
        <v>46161</v>
      </c>
      <c r="C70" t="s">
        <v>139</v>
      </c>
      <c r="D70" t="s">
        <v>35</v>
      </c>
      <c r="E70" t="s">
        <v>96</v>
      </c>
      <c r="F70" t="s">
        <v>47</v>
      </c>
      <c r="G70">
        <v>1</v>
      </c>
      <c r="H70" s="3">
        <v>5.75</v>
      </c>
      <c r="I70" s="3">
        <v>5.75</v>
      </c>
      <c r="J70" t="s">
        <v>32</v>
      </c>
      <c r="K70">
        <v>8</v>
      </c>
      <c r="L70">
        <v>15</v>
      </c>
      <c r="M70" t="s">
        <v>19</v>
      </c>
      <c r="N70">
        <f t="shared" si="2"/>
        <v>5.75</v>
      </c>
      <c r="O70" t="b">
        <f t="shared" si="3"/>
        <v>1</v>
      </c>
    </row>
    <row r="71" spans="1:15">
      <c r="A71" t="s">
        <v>164</v>
      </c>
      <c r="B71" s="2">
        <v>46067</v>
      </c>
      <c r="C71" t="s">
        <v>165</v>
      </c>
      <c r="D71" t="s">
        <v>15</v>
      </c>
      <c r="E71" t="s">
        <v>96</v>
      </c>
      <c r="F71" t="s">
        <v>47</v>
      </c>
      <c r="G71">
        <v>1</v>
      </c>
      <c r="H71" s="3">
        <v>5.75</v>
      </c>
      <c r="I71" s="3">
        <v>5.75</v>
      </c>
      <c r="J71" t="s">
        <v>27</v>
      </c>
      <c r="K71">
        <v>13</v>
      </c>
      <c r="L71">
        <v>13</v>
      </c>
      <c r="M71" t="s">
        <v>19</v>
      </c>
      <c r="N71">
        <f t="shared" si="2"/>
        <v>5.75</v>
      </c>
      <c r="O71" t="b">
        <f t="shared" si="3"/>
        <v>1</v>
      </c>
    </row>
    <row r="72" spans="1:15">
      <c r="A72" t="s">
        <v>166</v>
      </c>
      <c r="B72" s="2">
        <v>46276</v>
      </c>
      <c r="C72" t="s">
        <v>167</v>
      </c>
      <c r="D72" t="s">
        <v>35</v>
      </c>
      <c r="E72" t="s">
        <v>70</v>
      </c>
      <c r="F72" t="s">
        <v>17</v>
      </c>
      <c r="G72">
        <v>1</v>
      </c>
      <c r="H72" s="3">
        <v>12.5</v>
      </c>
      <c r="I72" s="3">
        <v>12.5</v>
      </c>
      <c r="J72" t="s">
        <v>53</v>
      </c>
      <c r="K72">
        <v>23</v>
      </c>
      <c r="L72">
        <v>13</v>
      </c>
      <c r="M72" t="s">
        <v>19</v>
      </c>
      <c r="N72">
        <f t="shared" si="2"/>
        <v>12.5</v>
      </c>
      <c r="O72" t="b">
        <f t="shared" si="3"/>
        <v>1</v>
      </c>
    </row>
    <row r="73" spans="1:15">
      <c r="A73" t="s">
        <v>168</v>
      </c>
      <c r="B73" s="2">
        <v>46028</v>
      </c>
      <c r="C73" t="s">
        <v>169</v>
      </c>
      <c r="D73" t="s">
        <v>35</v>
      </c>
      <c r="E73" t="s">
        <v>16</v>
      </c>
      <c r="F73" t="s">
        <v>17</v>
      </c>
      <c r="G73">
        <v>2</v>
      </c>
      <c r="H73" s="3">
        <v>9.9499999999999993</v>
      </c>
      <c r="I73" s="3">
        <v>19.899999999999999</v>
      </c>
      <c r="J73" t="s">
        <v>32</v>
      </c>
      <c r="K73">
        <v>18</v>
      </c>
      <c r="L73">
        <v>30</v>
      </c>
      <c r="M73" t="s">
        <v>19</v>
      </c>
      <c r="N73">
        <f t="shared" si="2"/>
        <v>19.899999999999999</v>
      </c>
      <c r="O73" t="b">
        <f t="shared" si="3"/>
        <v>1</v>
      </c>
    </row>
    <row r="74" spans="1:15">
      <c r="A74" t="s">
        <v>170</v>
      </c>
      <c r="B74" s="2">
        <v>46266</v>
      </c>
      <c r="C74" t="s">
        <v>171</v>
      </c>
      <c r="D74" t="s">
        <v>35</v>
      </c>
      <c r="E74" t="s">
        <v>26</v>
      </c>
      <c r="F74" t="s">
        <v>17</v>
      </c>
      <c r="G74">
        <v>1</v>
      </c>
      <c r="H74" s="3">
        <v>11.5</v>
      </c>
      <c r="I74" s="3">
        <v>11.5</v>
      </c>
      <c r="J74" t="s">
        <v>18</v>
      </c>
      <c r="K74">
        <v>22</v>
      </c>
      <c r="L74">
        <v>16</v>
      </c>
      <c r="M74" t="s">
        <v>19</v>
      </c>
      <c r="N74">
        <f t="shared" si="2"/>
        <v>11.5</v>
      </c>
      <c r="O74" t="b">
        <f t="shared" si="3"/>
        <v>1</v>
      </c>
    </row>
    <row r="75" spans="1:15">
      <c r="A75" t="s">
        <v>172</v>
      </c>
      <c r="B75" s="2">
        <v>46265</v>
      </c>
      <c r="C75" t="s">
        <v>173</v>
      </c>
      <c r="D75" t="s">
        <v>35</v>
      </c>
      <c r="E75" t="s">
        <v>36</v>
      </c>
      <c r="F75" t="s">
        <v>23</v>
      </c>
      <c r="G75">
        <v>1</v>
      </c>
      <c r="H75" s="3">
        <v>2.8</v>
      </c>
      <c r="I75" s="3">
        <v>2.8</v>
      </c>
      <c r="J75" t="s">
        <v>27</v>
      </c>
      <c r="K75">
        <v>15</v>
      </c>
      <c r="L75">
        <v>15</v>
      </c>
      <c r="M75" t="s">
        <v>19</v>
      </c>
      <c r="N75">
        <f t="shared" si="2"/>
        <v>2.8</v>
      </c>
      <c r="O75" t="b">
        <f t="shared" si="3"/>
        <v>1</v>
      </c>
    </row>
    <row r="76" spans="1:15">
      <c r="A76" t="s">
        <v>174</v>
      </c>
      <c r="B76" s="2">
        <v>46151</v>
      </c>
      <c r="C76" t="s">
        <v>175</v>
      </c>
      <c r="D76" t="s">
        <v>15</v>
      </c>
      <c r="E76" t="s">
        <v>59</v>
      </c>
      <c r="F76" t="s">
        <v>17</v>
      </c>
      <c r="G76">
        <v>2</v>
      </c>
      <c r="H76" s="3">
        <v>11.95</v>
      </c>
      <c r="I76" s="3">
        <v>-23.9</v>
      </c>
      <c r="J76" t="s">
        <v>18</v>
      </c>
      <c r="K76">
        <v>24</v>
      </c>
      <c r="L76">
        <v>14</v>
      </c>
      <c r="M76" t="s">
        <v>62</v>
      </c>
      <c r="N76">
        <f t="shared" si="2"/>
        <v>23.9</v>
      </c>
      <c r="O76" t="b">
        <f t="shared" si="3"/>
        <v>1</v>
      </c>
    </row>
    <row r="77" spans="1:15">
      <c r="A77" t="s">
        <v>176</v>
      </c>
      <c r="B77" s="2">
        <v>46291</v>
      </c>
      <c r="C77" t="s">
        <v>73</v>
      </c>
      <c r="D77" t="s">
        <v>35</v>
      </c>
      <c r="E77" t="s">
        <v>126</v>
      </c>
      <c r="F77" t="s">
        <v>31</v>
      </c>
      <c r="G77">
        <v>1</v>
      </c>
      <c r="H77" s="3">
        <v>7.95</v>
      </c>
      <c r="I77" s="3">
        <v>7.95</v>
      </c>
      <c r="J77" t="s">
        <v>27</v>
      </c>
      <c r="K77">
        <v>10</v>
      </c>
      <c r="L77">
        <v>16</v>
      </c>
      <c r="M77" t="s">
        <v>19</v>
      </c>
      <c r="N77">
        <f t="shared" si="2"/>
        <v>7.95</v>
      </c>
      <c r="O77" t="b">
        <f t="shared" si="3"/>
        <v>1</v>
      </c>
    </row>
    <row r="78" spans="1:15">
      <c r="A78" t="s">
        <v>177</v>
      </c>
      <c r="B78" s="2">
        <v>46087</v>
      </c>
      <c r="C78" t="s">
        <v>178</v>
      </c>
      <c r="D78" t="s">
        <v>15</v>
      </c>
      <c r="E78" t="s">
        <v>126</v>
      </c>
      <c r="F78" t="s">
        <v>31</v>
      </c>
      <c r="G78">
        <v>2</v>
      </c>
      <c r="H78" s="3">
        <v>7.95</v>
      </c>
      <c r="I78" s="3">
        <v>15.9</v>
      </c>
      <c r="J78" t="s">
        <v>53</v>
      </c>
      <c r="K78">
        <v>4</v>
      </c>
      <c r="L78">
        <v>9</v>
      </c>
      <c r="M78" t="s">
        <v>19</v>
      </c>
      <c r="N78">
        <f t="shared" si="2"/>
        <v>15.9</v>
      </c>
      <c r="O78" t="b">
        <f t="shared" si="3"/>
        <v>1</v>
      </c>
    </row>
    <row r="79" spans="1:15">
      <c r="A79" t="s">
        <v>179</v>
      </c>
      <c r="B79" s="2">
        <v>46168</v>
      </c>
      <c r="C79" t="s">
        <v>180</v>
      </c>
      <c r="D79" t="s">
        <v>35</v>
      </c>
      <c r="E79" t="s">
        <v>106</v>
      </c>
      <c r="F79" t="s">
        <v>17</v>
      </c>
      <c r="G79">
        <v>3</v>
      </c>
      <c r="H79" s="3">
        <v>15.95</v>
      </c>
      <c r="I79" s="3">
        <v>47.85</v>
      </c>
      <c r="J79" t="s">
        <v>18</v>
      </c>
      <c r="K79">
        <v>28</v>
      </c>
      <c r="L79">
        <v>12</v>
      </c>
      <c r="M79" t="s">
        <v>19</v>
      </c>
      <c r="N79">
        <f t="shared" si="2"/>
        <v>47.849999999999994</v>
      </c>
      <c r="O79" t="b">
        <f t="shared" si="3"/>
        <v>1</v>
      </c>
    </row>
    <row r="80" spans="1:15">
      <c r="A80" t="s">
        <v>181</v>
      </c>
      <c r="B80" s="2">
        <v>46056</v>
      </c>
      <c r="C80" t="s">
        <v>182</v>
      </c>
      <c r="D80" t="s">
        <v>35</v>
      </c>
      <c r="E80" t="s">
        <v>83</v>
      </c>
      <c r="F80" t="s">
        <v>17</v>
      </c>
      <c r="G80">
        <v>1</v>
      </c>
      <c r="H80" s="3">
        <v>13.5</v>
      </c>
      <c r="I80" s="3">
        <v>13.5</v>
      </c>
      <c r="J80" t="s">
        <v>27</v>
      </c>
      <c r="K80">
        <v>8</v>
      </c>
      <c r="L80">
        <v>22</v>
      </c>
      <c r="M80" t="s">
        <v>19</v>
      </c>
      <c r="N80">
        <f t="shared" si="2"/>
        <v>13.5</v>
      </c>
      <c r="O80" t="b">
        <f t="shared" si="3"/>
        <v>1</v>
      </c>
    </row>
    <row r="81" spans="1:15">
      <c r="A81" t="s">
        <v>183</v>
      </c>
      <c r="B81" s="2">
        <v>46236</v>
      </c>
      <c r="C81" t="s">
        <v>156</v>
      </c>
      <c r="D81" t="s">
        <v>35</v>
      </c>
      <c r="E81" t="s">
        <v>22</v>
      </c>
      <c r="F81" t="s">
        <v>23</v>
      </c>
      <c r="G81">
        <v>1</v>
      </c>
      <c r="H81" s="3">
        <v>3.1</v>
      </c>
      <c r="I81" s="3">
        <v>3.1</v>
      </c>
      <c r="J81" t="s">
        <v>53</v>
      </c>
      <c r="K81">
        <v>10</v>
      </c>
      <c r="L81">
        <v>12</v>
      </c>
      <c r="M81" t="s">
        <v>19</v>
      </c>
      <c r="N81">
        <f t="shared" si="2"/>
        <v>3.1</v>
      </c>
      <c r="O81" t="b">
        <f t="shared" si="3"/>
        <v>1</v>
      </c>
    </row>
    <row r="82" spans="1:15">
      <c r="A82" t="s">
        <v>184</v>
      </c>
      <c r="B82" s="2">
        <v>46242</v>
      </c>
      <c r="C82" t="s">
        <v>58</v>
      </c>
      <c r="D82" t="s">
        <v>15</v>
      </c>
      <c r="E82" t="s">
        <v>56</v>
      </c>
      <c r="F82" t="s">
        <v>23</v>
      </c>
      <c r="G82">
        <v>3</v>
      </c>
      <c r="H82" s="3">
        <v>3.75</v>
      </c>
      <c r="I82" s="3">
        <v>11.25</v>
      </c>
      <c r="J82" t="s">
        <v>27</v>
      </c>
      <c r="K82">
        <v>7</v>
      </c>
      <c r="L82">
        <v>12</v>
      </c>
      <c r="M82" t="s">
        <v>19</v>
      </c>
      <c r="N82">
        <f t="shared" si="2"/>
        <v>11.25</v>
      </c>
      <c r="O82" t="b">
        <f t="shared" si="3"/>
        <v>1</v>
      </c>
    </row>
    <row r="83" spans="1:15">
      <c r="A83" t="s">
        <v>185</v>
      </c>
      <c r="B83" s="2">
        <v>46064</v>
      </c>
      <c r="C83" t="s">
        <v>108</v>
      </c>
      <c r="D83" t="s">
        <v>15</v>
      </c>
      <c r="E83" t="s">
        <v>39</v>
      </c>
      <c r="F83" t="s">
        <v>17</v>
      </c>
      <c r="G83">
        <v>1</v>
      </c>
      <c r="H83" s="3">
        <v>12.95</v>
      </c>
      <c r="I83" s="3">
        <v>12.95</v>
      </c>
      <c r="J83" t="s">
        <v>18</v>
      </c>
      <c r="K83">
        <v>15</v>
      </c>
      <c r="L83">
        <v>14</v>
      </c>
      <c r="M83" t="s">
        <v>19</v>
      </c>
      <c r="N83">
        <f t="shared" si="2"/>
        <v>12.95</v>
      </c>
      <c r="O83" t="b">
        <f t="shared" si="3"/>
        <v>1</v>
      </c>
    </row>
    <row r="84" spans="1:15">
      <c r="A84" t="s">
        <v>186</v>
      </c>
      <c r="B84" s="2">
        <v>46263</v>
      </c>
      <c r="C84" t="s">
        <v>38</v>
      </c>
      <c r="D84" t="s">
        <v>15</v>
      </c>
      <c r="E84" t="s">
        <v>126</v>
      </c>
      <c r="F84" t="s">
        <v>31</v>
      </c>
      <c r="G84">
        <v>2</v>
      </c>
      <c r="H84" s="3">
        <v>7.95</v>
      </c>
      <c r="I84" s="3">
        <v>15.9</v>
      </c>
      <c r="J84" t="s">
        <v>32</v>
      </c>
      <c r="K84">
        <v>9</v>
      </c>
      <c r="L84">
        <v>19</v>
      </c>
      <c r="M84" t="s">
        <v>19</v>
      </c>
      <c r="N84">
        <f t="shared" si="2"/>
        <v>15.9</v>
      </c>
      <c r="O84" t="b">
        <f t="shared" si="3"/>
        <v>1</v>
      </c>
    </row>
    <row r="85" spans="1:15">
      <c r="A85" t="s">
        <v>187</v>
      </c>
      <c r="B85" s="2">
        <v>46124</v>
      </c>
      <c r="C85" t="s">
        <v>156</v>
      </c>
      <c r="D85" t="s">
        <v>35</v>
      </c>
      <c r="E85" t="s">
        <v>50</v>
      </c>
      <c r="F85" t="s">
        <v>17</v>
      </c>
      <c r="G85">
        <v>3</v>
      </c>
      <c r="H85" s="3">
        <v>14.5</v>
      </c>
      <c r="I85" s="3">
        <v>43.5</v>
      </c>
      <c r="J85" t="s">
        <v>27</v>
      </c>
      <c r="K85">
        <v>3</v>
      </c>
      <c r="L85">
        <v>21</v>
      </c>
      <c r="M85" t="s">
        <v>19</v>
      </c>
      <c r="N85">
        <f t="shared" si="2"/>
        <v>43.5</v>
      </c>
      <c r="O85" t="b">
        <f t="shared" si="3"/>
        <v>1</v>
      </c>
    </row>
    <row r="86" spans="1:15">
      <c r="A86" t="s">
        <v>188</v>
      </c>
      <c r="B86" s="2">
        <v>46180</v>
      </c>
      <c r="C86" t="s">
        <v>189</v>
      </c>
      <c r="D86" t="s">
        <v>35</v>
      </c>
      <c r="E86" t="s">
        <v>96</v>
      </c>
      <c r="F86" t="s">
        <v>47</v>
      </c>
      <c r="G86">
        <v>1</v>
      </c>
      <c r="H86" s="3">
        <v>5.75</v>
      </c>
      <c r="I86" s="3">
        <v>5.75</v>
      </c>
      <c r="J86" t="s">
        <v>18</v>
      </c>
      <c r="K86">
        <v>9</v>
      </c>
      <c r="L86">
        <v>17</v>
      </c>
      <c r="M86" t="s">
        <v>19</v>
      </c>
      <c r="N86">
        <f t="shared" si="2"/>
        <v>5.75</v>
      </c>
      <c r="O86" t="b">
        <f t="shared" si="3"/>
        <v>1</v>
      </c>
    </row>
    <row r="87" spans="1:15">
      <c r="A87" t="s">
        <v>190</v>
      </c>
      <c r="B87" s="2">
        <v>46275</v>
      </c>
      <c r="C87" t="s">
        <v>191</v>
      </c>
      <c r="D87" t="s">
        <v>35</v>
      </c>
      <c r="E87" t="s">
        <v>78</v>
      </c>
      <c r="F87" t="s">
        <v>47</v>
      </c>
      <c r="G87">
        <v>2</v>
      </c>
      <c r="H87" s="3">
        <v>7.25</v>
      </c>
      <c r="I87" s="3">
        <v>14.5</v>
      </c>
      <c r="J87" t="s">
        <v>27</v>
      </c>
      <c r="K87">
        <v>9</v>
      </c>
      <c r="L87">
        <v>25</v>
      </c>
      <c r="M87" t="s">
        <v>19</v>
      </c>
      <c r="N87">
        <f t="shared" si="2"/>
        <v>14.5</v>
      </c>
      <c r="O87" t="b">
        <f t="shared" si="3"/>
        <v>1</v>
      </c>
    </row>
    <row r="88" spans="1:15">
      <c r="A88" t="s">
        <v>192</v>
      </c>
      <c r="B88" s="2">
        <v>46140</v>
      </c>
      <c r="C88" t="s">
        <v>193</v>
      </c>
      <c r="D88" t="s">
        <v>35</v>
      </c>
      <c r="E88" t="s">
        <v>26</v>
      </c>
      <c r="F88" t="s">
        <v>17</v>
      </c>
      <c r="G88">
        <v>4</v>
      </c>
      <c r="H88" s="3">
        <v>11.5</v>
      </c>
      <c r="I88" s="3">
        <v>46</v>
      </c>
      <c r="J88" t="s">
        <v>32</v>
      </c>
      <c r="K88">
        <v>25</v>
      </c>
      <c r="L88">
        <v>23</v>
      </c>
      <c r="M88" t="s">
        <v>19</v>
      </c>
      <c r="N88">
        <f t="shared" si="2"/>
        <v>46</v>
      </c>
      <c r="O88" t="b">
        <f t="shared" si="3"/>
        <v>1</v>
      </c>
    </row>
    <row r="89" spans="1:15">
      <c r="A89" t="s">
        <v>194</v>
      </c>
      <c r="B89" s="2">
        <v>46263</v>
      </c>
      <c r="C89" t="s">
        <v>195</v>
      </c>
      <c r="D89" t="s">
        <v>35</v>
      </c>
      <c r="E89" t="s">
        <v>106</v>
      </c>
      <c r="F89" t="s">
        <v>17</v>
      </c>
      <c r="G89">
        <v>4</v>
      </c>
      <c r="H89" s="3">
        <v>15.95</v>
      </c>
      <c r="I89" s="3">
        <v>63.8</v>
      </c>
      <c r="J89" t="s">
        <v>32</v>
      </c>
      <c r="K89">
        <v>21</v>
      </c>
      <c r="L89">
        <v>12</v>
      </c>
      <c r="M89" t="s">
        <v>19</v>
      </c>
      <c r="N89">
        <f t="shared" si="2"/>
        <v>63.8</v>
      </c>
      <c r="O89" t="b">
        <f t="shared" si="3"/>
        <v>1</v>
      </c>
    </row>
    <row r="90" spans="1:15">
      <c r="A90" t="s">
        <v>196</v>
      </c>
      <c r="B90" s="2">
        <v>46069</v>
      </c>
      <c r="C90" t="s">
        <v>180</v>
      </c>
      <c r="D90" t="s">
        <v>35</v>
      </c>
      <c r="E90" t="s">
        <v>93</v>
      </c>
      <c r="F90" t="s">
        <v>31</v>
      </c>
      <c r="G90">
        <v>2</v>
      </c>
      <c r="H90" s="3">
        <v>6.25</v>
      </c>
      <c r="I90" s="3">
        <v>12.5</v>
      </c>
      <c r="J90" t="s">
        <v>18</v>
      </c>
      <c r="K90">
        <v>10</v>
      </c>
      <c r="L90">
        <v>15</v>
      </c>
      <c r="M90" t="s">
        <v>19</v>
      </c>
      <c r="N90">
        <f t="shared" si="2"/>
        <v>12.5</v>
      </c>
      <c r="O90" t="b">
        <f t="shared" si="3"/>
        <v>1</v>
      </c>
    </row>
    <row r="91" spans="1:15">
      <c r="A91" t="s">
        <v>197</v>
      </c>
      <c r="B91" s="2">
        <v>46228</v>
      </c>
      <c r="C91" t="s">
        <v>191</v>
      </c>
      <c r="D91" t="s">
        <v>35</v>
      </c>
      <c r="E91" t="s">
        <v>96</v>
      </c>
      <c r="F91" t="s">
        <v>47</v>
      </c>
      <c r="G91">
        <v>1</v>
      </c>
      <c r="H91" s="3">
        <v>5.75</v>
      </c>
      <c r="I91" s="3">
        <v>5.75</v>
      </c>
      <c r="J91" t="s">
        <v>27</v>
      </c>
      <c r="K91">
        <v>11</v>
      </c>
      <c r="L91">
        <v>28</v>
      </c>
      <c r="M91" t="s">
        <v>19</v>
      </c>
      <c r="N91">
        <f t="shared" si="2"/>
        <v>5.75</v>
      </c>
      <c r="O91" t="b">
        <f t="shared" si="3"/>
        <v>1</v>
      </c>
    </row>
    <row r="92" spans="1:15">
      <c r="A92" t="s">
        <v>198</v>
      </c>
      <c r="B92" s="2">
        <v>46229</v>
      </c>
      <c r="C92" t="s">
        <v>199</v>
      </c>
      <c r="D92" t="s">
        <v>35</v>
      </c>
      <c r="E92" t="s">
        <v>36</v>
      </c>
      <c r="F92" t="s">
        <v>23</v>
      </c>
      <c r="G92">
        <v>1</v>
      </c>
      <c r="H92" s="3">
        <v>2.8</v>
      </c>
      <c r="I92" s="3">
        <v>2.8</v>
      </c>
      <c r="J92" t="s">
        <v>18</v>
      </c>
      <c r="K92">
        <v>25</v>
      </c>
      <c r="L92">
        <v>15</v>
      </c>
      <c r="M92" t="s">
        <v>19</v>
      </c>
      <c r="N92">
        <f t="shared" si="2"/>
        <v>2.8</v>
      </c>
      <c r="O92" t="b">
        <f t="shared" si="3"/>
        <v>1</v>
      </c>
    </row>
    <row r="93" spans="1:15">
      <c r="A93" t="s">
        <v>200</v>
      </c>
      <c r="B93" s="2">
        <v>46249</v>
      </c>
      <c r="C93" t="s">
        <v>158</v>
      </c>
      <c r="D93" t="s">
        <v>35</v>
      </c>
      <c r="E93" t="s">
        <v>36</v>
      </c>
      <c r="F93" t="s">
        <v>23</v>
      </c>
      <c r="G93">
        <v>1</v>
      </c>
      <c r="H93" s="3">
        <v>2.8</v>
      </c>
      <c r="I93" s="3">
        <v>2.8</v>
      </c>
      <c r="J93" t="s">
        <v>53</v>
      </c>
      <c r="K93">
        <v>15</v>
      </c>
      <c r="L93">
        <v>18</v>
      </c>
      <c r="M93" t="s">
        <v>19</v>
      </c>
      <c r="N93">
        <f t="shared" si="2"/>
        <v>2.8</v>
      </c>
      <c r="O93" t="b">
        <f t="shared" si="3"/>
        <v>1</v>
      </c>
    </row>
    <row r="94" spans="1:15">
      <c r="A94" t="s">
        <v>201</v>
      </c>
      <c r="B94" s="2">
        <v>46271</v>
      </c>
      <c r="C94" t="s">
        <v>202</v>
      </c>
      <c r="D94" t="s">
        <v>15</v>
      </c>
      <c r="E94" t="s">
        <v>106</v>
      </c>
      <c r="F94" t="s">
        <v>17</v>
      </c>
      <c r="G94">
        <v>1</v>
      </c>
      <c r="H94" s="3">
        <v>15.95</v>
      </c>
      <c r="I94" s="3">
        <v>15.95</v>
      </c>
      <c r="J94" t="s">
        <v>53</v>
      </c>
      <c r="K94">
        <v>27</v>
      </c>
      <c r="L94">
        <v>13</v>
      </c>
      <c r="M94" t="s">
        <v>19</v>
      </c>
      <c r="N94">
        <f t="shared" si="2"/>
        <v>15.95</v>
      </c>
      <c r="O94" t="b">
        <f t="shared" si="3"/>
        <v>1</v>
      </c>
    </row>
    <row r="95" spans="1:15">
      <c r="A95" t="s">
        <v>203</v>
      </c>
      <c r="B95" s="2">
        <v>46259</v>
      </c>
      <c r="C95" t="s">
        <v>112</v>
      </c>
      <c r="D95" t="s">
        <v>35</v>
      </c>
      <c r="E95" t="s">
        <v>103</v>
      </c>
      <c r="F95" t="s">
        <v>23</v>
      </c>
      <c r="G95">
        <v>3</v>
      </c>
      <c r="H95" s="3">
        <v>3.25</v>
      </c>
      <c r="I95" s="3">
        <v>9.75</v>
      </c>
      <c r="J95" t="s">
        <v>18</v>
      </c>
      <c r="K95">
        <v>17</v>
      </c>
      <c r="L95">
        <v>12</v>
      </c>
      <c r="M95" t="s">
        <v>19</v>
      </c>
      <c r="N95">
        <f t="shared" si="2"/>
        <v>9.75</v>
      </c>
      <c r="O95" t="b">
        <f t="shared" si="3"/>
        <v>1</v>
      </c>
    </row>
    <row r="96" spans="1:15">
      <c r="A96" t="s">
        <v>204</v>
      </c>
      <c r="B96" s="2">
        <v>46235</v>
      </c>
      <c r="C96" t="s">
        <v>205</v>
      </c>
      <c r="D96" t="s">
        <v>35</v>
      </c>
      <c r="E96" t="s">
        <v>96</v>
      </c>
      <c r="F96" t="s">
        <v>47</v>
      </c>
      <c r="G96">
        <v>1</v>
      </c>
      <c r="H96" s="3">
        <v>5.75</v>
      </c>
      <c r="I96" s="3">
        <v>5.75</v>
      </c>
      <c r="J96" t="s">
        <v>53</v>
      </c>
      <c r="K96">
        <v>24</v>
      </c>
      <c r="L96">
        <v>22</v>
      </c>
      <c r="M96" t="s">
        <v>19</v>
      </c>
      <c r="N96">
        <f t="shared" si="2"/>
        <v>5.75</v>
      </c>
      <c r="O96" t="b">
        <f t="shared" si="3"/>
        <v>1</v>
      </c>
    </row>
    <row r="97" spans="1:15">
      <c r="A97" t="s">
        <v>206</v>
      </c>
      <c r="B97" s="2">
        <v>46058</v>
      </c>
      <c r="C97" t="s">
        <v>77</v>
      </c>
      <c r="D97" t="s">
        <v>15</v>
      </c>
      <c r="E97" t="s">
        <v>22</v>
      </c>
      <c r="F97" t="s">
        <v>23</v>
      </c>
      <c r="G97">
        <v>1</v>
      </c>
      <c r="H97" s="3">
        <v>3.1</v>
      </c>
      <c r="I97" s="3">
        <v>3.1</v>
      </c>
      <c r="J97" t="s">
        <v>18</v>
      </c>
      <c r="K97">
        <v>10</v>
      </c>
      <c r="L97">
        <v>16</v>
      </c>
      <c r="M97" t="s">
        <v>19</v>
      </c>
      <c r="N97">
        <f t="shared" si="2"/>
        <v>3.1</v>
      </c>
      <c r="O97" t="b">
        <f t="shared" si="3"/>
        <v>1</v>
      </c>
    </row>
    <row r="98" spans="1:15">
      <c r="A98" t="s">
        <v>207</v>
      </c>
      <c r="B98" s="2">
        <v>46273</v>
      </c>
      <c r="C98" t="s">
        <v>208</v>
      </c>
      <c r="D98" t="s">
        <v>35</v>
      </c>
      <c r="E98" t="s">
        <v>103</v>
      </c>
      <c r="F98" t="s">
        <v>23</v>
      </c>
      <c r="G98">
        <v>1</v>
      </c>
      <c r="H98" s="3">
        <v>3.25</v>
      </c>
      <c r="I98" s="3">
        <v>3.25</v>
      </c>
      <c r="J98" t="s">
        <v>27</v>
      </c>
      <c r="K98">
        <v>30</v>
      </c>
      <c r="L98">
        <v>13</v>
      </c>
      <c r="M98" t="s">
        <v>19</v>
      </c>
      <c r="N98">
        <f t="shared" si="2"/>
        <v>3.25</v>
      </c>
      <c r="O98" t="b">
        <f t="shared" si="3"/>
        <v>1</v>
      </c>
    </row>
    <row r="99" spans="1:15">
      <c r="A99" t="s">
        <v>209</v>
      </c>
      <c r="B99" s="2">
        <v>46119</v>
      </c>
      <c r="C99" t="s">
        <v>210</v>
      </c>
      <c r="D99" t="s">
        <v>35</v>
      </c>
      <c r="E99" t="s">
        <v>46</v>
      </c>
      <c r="F99" t="s">
        <v>47</v>
      </c>
      <c r="G99">
        <v>1</v>
      </c>
      <c r="H99" s="3">
        <v>6.95</v>
      </c>
      <c r="I99" s="3">
        <v>-6.95</v>
      </c>
      <c r="J99" t="s">
        <v>27</v>
      </c>
      <c r="K99">
        <v>14</v>
      </c>
      <c r="L99">
        <v>14</v>
      </c>
      <c r="M99" t="s">
        <v>62</v>
      </c>
      <c r="N99">
        <f t="shared" si="2"/>
        <v>6.95</v>
      </c>
      <c r="O99" t="b">
        <f t="shared" si="3"/>
        <v>1</v>
      </c>
    </row>
    <row r="100" spans="1:15">
      <c r="A100" t="s">
        <v>211</v>
      </c>
      <c r="B100" s="2">
        <v>46265</v>
      </c>
      <c r="C100" t="s">
        <v>212</v>
      </c>
      <c r="D100" t="s">
        <v>35</v>
      </c>
      <c r="E100" t="s">
        <v>50</v>
      </c>
      <c r="F100" t="s">
        <v>17</v>
      </c>
      <c r="G100">
        <v>1</v>
      </c>
      <c r="H100" s="3">
        <v>14.5</v>
      </c>
      <c r="I100" s="3">
        <v>14.5</v>
      </c>
      <c r="J100" t="s">
        <v>53</v>
      </c>
      <c r="K100">
        <v>11</v>
      </c>
      <c r="L100">
        <v>30</v>
      </c>
      <c r="M100" t="s">
        <v>19</v>
      </c>
      <c r="N100">
        <f t="shared" si="2"/>
        <v>14.5</v>
      </c>
      <c r="O100" t="b">
        <f t="shared" si="3"/>
        <v>1</v>
      </c>
    </row>
    <row r="101" spans="1:15">
      <c r="A101" t="s">
        <v>213</v>
      </c>
      <c r="B101" s="2">
        <v>46248</v>
      </c>
      <c r="C101" t="s">
        <v>214</v>
      </c>
      <c r="D101" t="s">
        <v>15</v>
      </c>
      <c r="E101" t="s">
        <v>50</v>
      </c>
      <c r="F101" t="s">
        <v>17</v>
      </c>
      <c r="G101">
        <v>1</v>
      </c>
      <c r="H101" s="3">
        <v>14.5</v>
      </c>
      <c r="I101" s="3">
        <v>14.5</v>
      </c>
      <c r="J101" t="s">
        <v>27</v>
      </c>
      <c r="K101">
        <v>5</v>
      </c>
      <c r="L101">
        <v>27</v>
      </c>
      <c r="M101" t="s">
        <v>19</v>
      </c>
      <c r="N101">
        <f t="shared" si="2"/>
        <v>14.5</v>
      </c>
      <c r="O101" t="b">
        <f t="shared" si="3"/>
        <v>1</v>
      </c>
    </row>
    <row r="102" spans="1:15">
      <c r="A102" t="s">
        <v>215</v>
      </c>
      <c r="B102" s="2">
        <v>46158</v>
      </c>
      <c r="C102" t="s">
        <v>128</v>
      </c>
      <c r="D102" t="s">
        <v>15</v>
      </c>
      <c r="E102" t="s">
        <v>39</v>
      </c>
      <c r="F102" t="s">
        <v>17</v>
      </c>
      <c r="G102">
        <v>2</v>
      </c>
      <c r="H102" s="3">
        <v>12.95</v>
      </c>
      <c r="I102" s="3">
        <v>25.9</v>
      </c>
      <c r="J102" t="s">
        <v>18</v>
      </c>
      <c r="K102">
        <v>11</v>
      </c>
      <c r="L102">
        <v>19</v>
      </c>
      <c r="M102" t="s">
        <v>19</v>
      </c>
      <c r="N102">
        <f t="shared" si="2"/>
        <v>25.9</v>
      </c>
      <c r="O102" t="b">
        <f t="shared" si="3"/>
        <v>1</v>
      </c>
    </row>
    <row r="103" spans="1:15">
      <c r="A103" t="s">
        <v>216</v>
      </c>
      <c r="B103" s="2">
        <v>46272</v>
      </c>
      <c r="C103" t="s">
        <v>182</v>
      </c>
      <c r="D103" t="s">
        <v>35</v>
      </c>
      <c r="E103" t="s">
        <v>39</v>
      </c>
      <c r="F103" t="s">
        <v>17</v>
      </c>
      <c r="G103">
        <v>1</v>
      </c>
      <c r="H103" s="3">
        <v>12.95</v>
      </c>
      <c r="I103" s="3">
        <v>12.95</v>
      </c>
      <c r="J103" t="s">
        <v>27</v>
      </c>
      <c r="K103">
        <v>30</v>
      </c>
      <c r="L103">
        <v>15</v>
      </c>
      <c r="M103" t="s">
        <v>19</v>
      </c>
      <c r="N103">
        <f t="shared" si="2"/>
        <v>12.95</v>
      </c>
      <c r="O103" t="b">
        <f t="shared" si="3"/>
        <v>1</v>
      </c>
    </row>
    <row r="104" spans="1:15">
      <c r="A104" t="s">
        <v>217</v>
      </c>
      <c r="B104" s="2">
        <v>46139</v>
      </c>
      <c r="C104" t="s">
        <v>34</v>
      </c>
      <c r="D104" t="s">
        <v>35</v>
      </c>
      <c r="E104" t="s">
        <v>59</v>
      </c>
      <c r="F104" t="s">
        <v>17</v>
      </c>
      <c r="G104">
        <v>1</v>
      </c>
      <c r="H104" s="3">
        <v>11.95</v>
      </c>
      <c r="I104" s="3">
        <v>11.95</v>
      </c>
      <c r="J104" t="s">
        <v>32</v>
      </c>
      <c r="K104">
        <v>11</v>
      </c>
      <c r="L104">
        <v>19</v>
      </c>
      <c r="M104" t="s">
        <v>19</v>
      </c>
      <c r="N104">
        <f t="shared" si="2"/>
        <v>11.95</v>
      </c>
      <c r="O104" t="b">
        <f t="shared" si="3"/>
        <v>1</v>
      </c>
    </row>
    <row r="105" spans="1:15">
      <c r="A105" t="s">
        <v>218</v>
      </c>
      <c r="B105" s="2">
        <v>46173</v>
      </c>
      <c r="C105" t="s">
        <v>150</v>
      </c>
      <c r="D105" t="s">
        <v>15</v>
      </c>
      <c r="E105" t="s">
        <v>16</v>
      </c>
      <c r="F105" t="s">
        <v>17</v>
      </c>
      <c r="G105">
        <v>1</v>
      </c>
      <c r="H105" s="3">
        <v>9.9499999999999993</v>
      </c>
      <c r="I105" s="3">
        <v>9.9499999999999993</v>
      </c>
      <c r="J105" t="s">
        <v>32</v>
      </c>
      <c r="K105">
        <v>22</v>
      </c>
      <c r="L105">
        <v>17</v>
      </c>
      <c r="M105" t="s">
        <v>19</v>
      </c>
      <c r="N105">
        <f t="shared" si="2"/>
        <v>9.9499999999999993</v>
      </c>
      <c r="O105" t="b">
        <f t="shared" si="3"/>
        <v>1</v>
      </c>
    </row>
    <row r="106" spans="1:15">
      <c r="A106" t="s">
        <v>219</v>
      </c>
      <c r="B106" s="2">
        <v>46110</v>
      </c>
      <c r="C106" t="s">
        <v>220</v>
      </c>
      <c r="D106" t="s">
        <v>15</v>
      </c>
      <c r="E106" t="s">
        <v>56</v>
      </c>
      <c r="F106" t="s">
        <v>23</v>
      </c>
      <c r="G106">
        <v>2</v>
      </c>
      <c r="H106" s="3">
        <v>3.75</v>
      </c>
      <c r="I106" s="3">
        <v>7.5</v>
      </c>
      <c r="J106" t="s">
        <v>18</v>
      </c>
      <c r="K106">
        <v>15</v>
      </c>
      <c r="L106">
        <v>11</v>
      </c>
      <c r="M106" t="s">
        <v>19</v>
      </c>
      <c r="N106">
        <f t="shared" si="2"/>
        <v>7.5</v>
      </c>
      <c r="O106" t="b">
        <f t="shared" si="3"/>
        <v>1</v>
      </c>
    </row>
    <row r="107" spans="1:15">
      <c r="A107" t="s">
        <v>221</v>
      </c>
      <c r="B107" s="2">
        <v>46258</v>
      </c>
      <c r="C107" t="s">
        <v>222</v>
      </c>
      <c r="D107" t="s">
        <v>15</v>
      </c>
      <c r="E107" t="s">
        <v>126</v>
      </c>
      <c r="F107" t="s">
        <v>31</v>
      </c>
      <c r="G107">
        <v>2</v>
      </c>
      <c r="H107" s="3">
        <v>7.95</v>
      </c>
      <c r="I107" s="3">
        <v>15.9</v>
      </c>
      <c r="J107" t="s">
        <v>18</v>
      </c>
      <c r="K107">
        <v>3</v>
      </c>
      <c r="L107">
        <v>14</v>
      </c>
      <c r="M107" t="s">
        <v>19</v>
      </c>
      <c r="N107">
        <f t="shared" si="2"/>
        <v>15.9</v>
      </c>
      <c r="O107" t="b">
        <f t="shared" si="3"/>
        <v>1</v>
      </c>
    </row>
    <row r="108" spans="1:15">
      <c r="A108" t="s">
        <v>223</v>
      </c>
      <c r="B108" s="2">
        <v>46199</v>
      </c>
      <c r="C108" t="s">
        <v>64</v>
      </c>
      <c r="D108" t="s">
        <v>35</v>
      </c>
      <c r="E108" t="s">
        <v>78</v>
      </c>
      <c r="F108" t="s">
        <v>47</v>
      </c>
      <c r="G108">
        <v>2</v>
      </c>
      <c r="H108" s="3">
        <v>7.25</v>
      </c>
      <c r="I108" s="3">
        <v>14.5</v>
      </c>
      <c r="J108" t="s">
        <v>53</v>
      </c>
      <c r="K108">
        <v>13</v>
      </c>
      <c r="L108">
        <v>22</v>
      </c>
      <c r="M108" t="s">
        <v>19</v>
      </c>
      <c r="N108">
        <f t="shared" si="2"/>
        <v>14.5</v>
      </c>
      <c r="O108" t="b">
        <f t="shared" si="3"/>
        <v>1</v>
      </c>
    </row>
    <row r="109" spans="1:15">
      <c r="A109" t="s">
        <v>224</v>
      </c>
      <c r="B109" s="2">
        <v>46077</v>
      </c>
      <c r="C109" t="s">
        <v>225</v>
      </c>
      <c r="D109" t="s">
        <v>15</v>
      </c>
      <c r="E109" t="s">
        <v>121</v>
      </c>
      <c r="F109" t="s">
        <v>23</v>
      </c>
      <c r="G109">
        <v>1</v>
      </c>
      <c r="H109" s="3">
        <v>6.5</v>
      </c>
      <c r="I109" s="3">
        <v>6.5</v>
      </c>
      <c r="J109" t="s">
        <v>27</v>
      </c>
      <c r="K109">
        <v>10</v>
      </c>
      <c r="L109">
        <v>5</v>
      </c>
      <c r="M109" t="s">
        <v>19</v>
      </c>
      <c r="N109">
        <f t="shared" si="2"/>
        <v>6.5</v>
      </c>
      <c r="O109" t="b">
        <f t="shared" si="3"/>
        <v>1</v>
      </c>
    </row>
    <row r="110" spans="1:15">
      <c r="A110" t="s">
        <v>226</v>
      </c>
      <c r="B110" s="2">
        <v>46225</v>
      </c>
      <c r="C110" t="s">
        <v>124</v>
      </c>
      <c r="D110" t="s">
        <v>15</v>
      </c>
      <c r="E110" t="s">
        <v>83</v>
      </c>
      <c r="F110" t="s">
        <v>17</v>
      </c>
      <c r="G110">
        <v>3</v>
      </c>
      <c r="H110" s="3">
        <v>13.5</v>
      </c>
      <c r="I110" s="3">
        <v>0</v>
      </c>
      <c r="J110" t="s">
        <v>32</v>
      </c>
      <c r="K110">
        <v>10</v>
      </c>
      <c r="L110">
        <v>5</v>
      </c>
      <c r="M110" t="s">
        <v>152</v>
      </c>
      <c r="N110">
        <f t="shared" si="2"/>
        <v>40.5</v>
      </c>
      <c r="O110" t="b">
        <f t="shared" si="3"/>
        <v>1</v>
      </c>
    </row>
    <row r="111" spans="1:15">
      <c r="A111" t="s">
        <v>227</v>
      </c>
      <c r="B111" s="2">
        <v>46140</v>
      </c>
      <c r="C111" t="s">
        <v>228</v>
      </c>
      <c r="D111" t="s">
        <v>35</v>
      </c>
      <c r="E111" t="s">
        <v>70</v>
      </c>
      <c r="F111" t="s">
        <v>17</v>
      </c>
      <c r="G111">
        <v>2</v>
      </c>
      <c r="H111" s="3">
        <v>12.5</v>
      </c>
      <c r="I111" s="3">
        <v>25</v>
      </c>
      <c r="J111" t="s">
        <v>18</v>
      </c>
      <c r="K111">
        <v>25</v>
      </c>
      <c r="L111">
        <v>20</v>
      </c>
      <c r="M111" t="s">
        <v>19</v>
      </c>
      <c r="N111">
        <f t="shared" si="2"/>
        <v>25</v>
      </c>
      <c r="O111" t="b">
        <f t="shared" si="3"/>
        <v>1</v>
      </c>
    </row>
    <row r="112" spans="1:15">
      <c r="A112" t="s">
        <v>229</v>
      </c>
      <c r="B112" s="2">
        <v>46093</v>
      </c>
      <c r="C112" t="s">
        <v>230</v>
      </c>
      <c r="D112" t="s">
        <v>35</v>
      </c>
      <c r="E112" t="s">
        <v>83</v>
      </c>
      <c r="F112" t="s">
        <v>17</v>
      </c>
      <c r="G112">
        <v>1</v>
      </c>
      <c r="H112" s="3">
        <v>13.5</v>
      </c>
      <c r="I112" s="3">
        <v>13.5</v>
      </c>
      <c r="J112" t="s">
        <v>27</v>
      </c>
      <c r="K112">
        <v>5</v>
      </c>
      <c r="L112">
        <v>25</v>
      </c>
      <c r="M112" t="s">
        <v>19</v>
      </c>
      <c r="N112">
        <f t="shared" si="2"/>
        <v>13.5</v>
      </c>
      <c r="O112" t="b">
        <f t="shared" si="3"/>
        <v>1</v>
      </c>
    </row>
    <row r="113" spans="1:15">
      <c r="A113" t="s">
        <v>231</v>
      </c>
      <c r="B113" s="2">
        <v>46174</v>
      </c>
      <c r="C113" t="s">
        <v>150</v>
      </c>
      <c r="D113" t="s">
        <v>15</v>
      </c>
      <c r="E113" t="s">
        <v>70</v>
      </c>
      <c r="F113" t="s">
        <v>17</v>
      </c>
      <c r="G113">
        <v>1</v>
      </c>
      <c r="H113" s="3">
        <v>12.5</v>
      </c>
      <c r="I113" s="3">
        <v>12.5</v>
      </c>
      <c r="J113" t="s">
        <v>53</v>
      </c>
      <c r="K113">
        <v>29</v>
      </c>
      <c r="L113">
        <v>17</v>
      </c>
      <c r="M113" t="s">
        <v>19</v>
      </c>
      <c r="N113">
        <f t="shared" si="2"/>
        <v>12.5</v>
      </c>
      <c r="O113" t="b">
        <f t="shared" si="3"/>
        <v>1</v>
      </c>
    </row>
    <row r="114" spans="1:15">
      <c r="A114" t="s">
        <v>232</v>
      </c>
      <c r="B114" s="2">
        <v>46294</v>
      </c>
      <c r="C114" t="s">
        <v>120</v>
      </c>
      <c r="D114" t="s">
        <v>35</v>
      </c>
      <c r="E114" t="s">
        <v>41</v>
      </c>
      <c r="F114" t="s">
        <v>31</v>
      </c>
      <c r="G114">
        <v>3</v>
      </c>
      <c r="H114" s="3">
        <v>5.5</v>
      </c>
      <c r="I114" s="3">
        <v>16.5</v>
      </c>
      <c r="J114" t="s">
        <v>27</v>
      </c>
      <c r="K114">
        <v>28</v>
      </c>
      <c r="L114">
        <v>24</v>
      </c>
      <c r="M114" t="s">
        <v>19</v>
      </c>
      <c r="N114">
        <f t="shared" si="2"/>
        <v>16.5</v>
      </c>
      <c r="O114" t="b">
        <f t="shared" si="3"/>
        <v>1</v>
      </c>
    </row>
    <row r="115" spans="1:15">
      <c r="A115" t="s">
        <v>233</v>
      </c>
      <c r="B115" s="2">
        <v>46081</v>
      </c>
      <c r="C115" t="s">
        <v>142</v>
      </c>
      <c r="D115" t="s">
        <v>35</v>
      </c>
      <c r="E115" t="s">
        <v>16</v>
      </c>
      <c r="F115" t="s">
        <v>17</v>
      </c>
      <c r="G115">
        <v>2</v>
      </c>
      <c r="H115" s="3">
        <v>9.9499999999999993</v>
      </c>
      <c r="I115" s="3">
        <v>19.899999999999999</v>
      </c>
      <c r="J115" t="s">
        <v>53</v>
      </c>
      <c r="K115">
        <v>22</v>
      </c>
      <c r="L115">
        <v>18</v>
      </c>
      <c r="M115" t="s">
        <v>19</v>
      </c>
      <c r="N115">
        <f t="shared" si="2"/>
        <v>19.899999999999999</v>
      </c>
      <c r="O115" t="b">
        <f t="shared" si="3"/>
        <v>1</v>
      </c>
    </row>
    <row r="116" spans="1:15">
      <c r="A116" t="s">
        <v>234</v>
      </c>
      <c r="B116" s="2">
        <v>46210</v>
      </c>
      <c r="C116" t="s">
        <v>214</v>
      </c>
      <c r="D116" t="s">
        <v>15</v>
      </c>
      <c r="E116" t="s">
        <v>41</v>
      </c>
      <c r="F116" t="s">
        <v>31</v>
      </c>
      <c r="G116">
        <v>1</v>
      </c>
      <c r="H116" s="3">
        <v>5.5</v>
      </c>
      <c r="I116" s="3">
        <v>5.5</v>
      </c>
      <c r="J116" t="s">
        <v>18</v>
      </c>
      <c r="K116">
        <v>9</v>
      </c>
      <c r="L116">
        <v>9</v>
      </c>
      <c r="M116" t="s">
        <v>19</v>
      </c>
      <c r="N116">
        <f t="shared" si="2"/>
        <v>5.5</v>
      </c>
      <c r="O116" t="b">
        <f t="shared" si="3"/>
        <v>1</v>
      </c>
    </row>
    <row r="117" spans="1:15">
      <c r="A117" t="s">
        <v>235</v>
      </c>
      <c r="B117" s="2">
        <v>46213</v>
      </c>
      <c r="C117" t="s">
        <v>236</v>
      </c>
      <c r="D117" t="s">
        <v>15</v>
      </c>
      <c r="E117" t="s">
        <v>26</v>
      </c>
      <c r="F117" t="s">
        <v>17</v>
      </c>
      <c r="G117">
        <v>2</v>
      </c>
      <c r="H117" s="3">
        <v>11.5</v>
      </c>
      <c r="I117" s="3">
        <v>23</v>
      </c>
      <c r="J117" t="s">
        <v>53</v>
      </c>
      <c r="K117">
        <v>11</v>
      </c>
      <c r="L117">
        <v>23</v>
      </c>
      <c r="M117" t="s">
        <v>19</v>
      </c>
      <c r="N117">
        <f t="shared" si="2"/>
        <v>23</v>
      </c>
      <c r="O117" t="b">
        <f t="shared" si="3"/>
        <v>1</v>
      </c>
    </row>
    <row r="118" spans="1:15">
      <c r="A118" t="s">
        <v>237</v>
      </c>
      <c r="B118" s="2">
        <v>46136</v>
      </c>
      <c r="C118" t="s">
        <v>49</v>
      </c>
      <c r="D118" t="s">
        <v>35</v>
      </c>
      <c r="E118" t="s">
        <v>126</v>
      </c>
      <c r="F118" t="s">
        <v>31</v>
      </c>
      <c r="G118">
        <v>2</v>
      </c>
      <c r="H118" s="3">
        <v>7.95</v>
      </c>
      <c r="I118" s="3">
        <v>15.9</v>
      </c>
      <c r="J118" t="s">
        <v>53</v>
      </c>
      <c r="K118">
        <v>10</v>
      </c>
      <c r="L118">
        <v>29</v>
      </c>
      <c r="M118" t="s">
        <v>19</v>
      </c>
      <c r="N118">
        <f t="shared" si="2"/>
        <v>15.9</v>
      </c>
      <c r="O118" t="b">
        <f t="shared" si="3"/>
        <v>1</v>
      </c>
    </row>
    <row r="119" spans="1:15">
      <c r="A119" t="s">
        <v>238</v>
      </c>
      <c r="B119" s="2">
        <v>46082</v>
      </c>
      <c r="C119" t="s">
        <v>239</v>
      </c>
      <c r="D119" t="s">
        <v>15</v>
      </c>
      <c r="E119" t="s">
        <v>46</v>
      </c>
      <c r="F119" t="s">
        <v>47</v>
      </c>
      <c r="G119">
        <v>1</v>
      </c>
      <c r="H119" s="3">
        <v>6.95</v>
      </c>
      <c r="I119" s="3">
        <v>6.95</v>
      </c>
      <c r="J119" t="s">
        <v>18</v>
      </c>
      <c r="K119">
        <v>24</v>
      </c>
      <c r="L119">
        <v>27</v>
      </c>
      <c r="M119" t="s">
        <v>19</v>
      </c>
      <c r="N119">
        <f t="shared" si="2"/>
        <v>6.95</v>
      </c>
      <c r="O119" t="b">
        <f t="shared" si="3"/>
        <v>1</v>
      </c>
    </row>
    <row r="120" spans="1:15">
      <c r="A120" t="s">
        <v>240</v>
      </c>
      <c r="B120" s="2">
        <v>46237</v>
      </c>
      <c r="C120" t="s">
        <v>112</v>
      </c>
      <c r="D120" t="s">
        <v>35</v>
      </c>
      <c r="E120" t="s">
        <v>78</v>
      </c>
      <c r="F120" t="s">
        <v>47</v>
      </c>
      <c r="G120">
        <v>2</v>
      </c>
      <c r="H120" s="3">
        <v>7.25</v>
      </c>
      <c r="I120" s="3">
        <v>14.5</v>
      </c>
      <c r="J120" t="s">
        <v>27</v>
      </c>
      <c r="K120">
        <v>9</v>
      </c>
      <c r="L120">
        <v>9</v>
      </c>
      <c r="M120" t="s">
        <v>19</v>
      </c>
      <c r="N120">
        <f t="shared" si="2"/>
        <v>14.5</v>
      </c>
      <c r="O120" t="b">
        <f t="shared" si="3"/>
        <v>1</v>
      </c>
    </row>
    <row r="121" spans="1:15">
      <c r="A121" t="s">
        <v>241</v>
      </c>
      <c r="B121" s="2">
        <v>46212</v>
      </c>
      <c r="C121" t="s">
        <v>165</v>
      </c>
      <c r="D121" t="s">
        <v>15</v>
      </c>
      <c r="E121" t="s">
        <v>30</v>
      </c>
      <c r="F121" t="s">
        <v>31</v>
      </c>
      <c r="G121">
        <v>1</v>
      </c>
      <c r="H121" s="3">
        <v>8.5</v>
      </c>
      <c r="I121" s="3">
        <v>8.5</v>
      </c>
      <c r="J121" t="s">
        <v>18</v>
      </c>
      <c r="K121">
        <v>12</v>
      </c>
      <c r="L121">
        <v>6</v>
      </c>
      <c r="M121" t="s">
        <v>19</v>
      </c>
      <c r="N121">
        <f t="shared" si="2"/>
        <v>8.5</v>
      </c>
      <c r="O121" t="b">
        <f t="shared" si="3"/>
        <v>1</v>
      </c>
    </row>
    <row r="122" spans="1:15">
      <c r="A122" t="s">
        <v>242</v>
      </c>
      <c r="B122" s="2">
        <v>46206</v>
      </c>
      <c r="C122" t="s">
        <v>14</v>
      </c>
      <c r="D122" t="s">
        <v>15</v>
      </c>
      <c r="E122" t="s">
        <v>59</v>
      </c>
      <c r="F122" t="s">
        <v>17</v>
      </c>
      <c r="G122">
        <v>3</v>
      </c>
      <c r="H122" s="3">
        <v>11.95</v>
      </c>
      <c r="I122" s="3">
        <v>35.85</v>
      </c>
      <c r="J122" t="s">
        <v>18</v>
      </c>
      <c r="K122">
        <v>21</v>
      </c>
      <c r="L122">
        <v>19</v>
      </c>
      <c r="M122" t="s">
        <v>19</v>
      </c>
      <c r="N122">
        <f t="shared" si="2"/>
        <v>35.849999999999994</v>
      </c>
      <c r="O122" t="b">
        <f t="shared" si="3"/>
        <v>1</v>
      </c>
    </row>
    <row r="123" spans="1:15">
      <c r="A123" t="s">
        <v>243</v>
      </c>
      <c r="B123" s="2">
        <v>46033</v>
      </c>
      <c r="C123" t="s">
        <v>14</v>
      </c>
      <c r="D123" t="s">
        <v>15</v>
      </c>
      <c r="E123" t="s">
        <v>50</v>
      </c>
      <c r="F123" t="s">
        <v>17</v>
      </c>
      <c r="G123">
        <v>2</v>
      </c>
      <c r="H123" s="3">
        <v>14.5</v>
      </c>
      <c r="I123" s="3">
        <v>29</v>
      </c>
      <c r="J123" t="s">
        <v>32</v>
      </c>
      <c r="K123">
        <v>3</v>
      </c>
      <c r="L123">
        <v>18</v>
      </c>
      <c r="M123" t="s">
        <v>19</v>
      </c>
      <c r="N123">
        <f t="shared" si="2"/>
        <v>29</v>
      </c>
      <c r="O123" t="b">
        <f t="shared" si="3"/>
        <v>1</v>
      </c>
    </row>
    <row r="124" spans="1:15">
      <c r="A124" t="s">
        <v>244</v>
      </c>
      <c r="B124" s="2">
        <v>46129</v>
      </c>
      <c r="C124" t="s">
        <v>245</v>
      </c>
      <c r="D124" t="s">
        <v>35</v>
      </c>
      <c r="E124" t="s">
        <v>50</v>
      </c>
      <c r="F124" t="s">
        <v>17</v>
      </c>
      <c r="G124">
        <v>2</v>
      </c>
      <c r="H124" s="3">
        <v>14.5</v>
      </c>
      <c r="I124" s="3">
        <v>29</v>
      </c>
      <c r="J124" t="s">
        <v>53</v>
      </c>
      <c r="K124">
        <v>5</v>
      </c>
      <c r="L124">
        <v>31</v>
      </c>
      <c r="M124" t="s">
        <v>19</v>
      </c>
      <c r="N124">
        <f t="shared" si="2"/>
        <v>29</v>
      </c>
      <c r="O124" t="b">
        <f t="shared" si="3"/>
        <v>1</v>
      </c>
    </row>
    <row r="125" spans="1:15">
      <c r="A125" t="s">
        <v>246</v>
      </c>
      <c r="B125" s="2">
        <v>46151</v>
      </c>
      <c r="C125" t="s">
        <v>199</v>
      </c>
      <c r="D125" t="s">
        <v>35</v>
      </c>
      <c r="E125" t="s">
        <v>26</v>
      </c>
      <c r="F125" t="s">
        <v>17</v>
      </c>
      <c r="G125">
        <v>1</v>
      </c>
      <c r="H125" s="3">
        <v>11.5</v>
      </c>
      <c r="I125" s="3">
        <v>11.5</v>
      </c>
      <c r="J125" t="s">
        <v>32</v>
      </c>
      <c r="K125">
        <v>26</v>
      </c>
      <c r="L125">
        <v>20</v>
      </c>
      <c r="M125" t="s">
        <v>19</v>
      </c>
      <c r="N125">
        <f t="shared" si="2"/>
        <v>11.5</v>
      </c>
      <c r="O125" t="b">
        <f t="shared" si="3"/>
        <v>1</v>
      </c>
    </row>
    <row r="126" spans="1:15">
      <c r="A126" t="s">
        <v>247</v>
      </c>
      <c r="B126" s="2">
        <v>46188</v>
      </c>
      <c r="C126" t="s">
        <v>248</v>
      </c>
      <c r="D126" t="s">
        <v>15</v>
      </c>
      <c r="E126" t="s">
        <v>50</v>
      </c>
      <c r="F126" t="s">
        <v>17</v>
      </c>
      <c r="G126">
        <v>2</v>
      </c>
      <c r="H126" s="3">
        <v>14.5</v>
      </c>
      <c r="I126" s="3">
        <v>29</v>
      </c>
      <c r="J126" t="s">
        <v>32</v>
      </c>
      <c r="K126">
        <v>15</v>
      </c>
      <c r="L126">
        <v>17</v>
      </c>
      <c r="M126" t="s">
        <v>19</v>
      </c>
      <c r="N126">
        <f t="shared" si="2"/>
        <v>29</v>
      </c>
      <c r="O126" t="b">
        <f t="shared" si="3"/>
        <v>1</v>
      </c>
    </row>
    <row r="127" spans="1:15">
      <c r="A127" t="s">
        <v>249</v>
      </c>
      <c r="B127" s="2">
        <v>46285</v>
      </c>
      <c r="C127" t="s">
        <v>208</v>
      </c>
      <c r="D127" t="s">
        <v>35</v>
      </c>
      <c r="E127" t="s">
        <v>16</v>
      </c>
      <c r="F127" t="s">
        <v>17</v>
      </c>
      <c r="G127">
        <v>3</v>
      </c>
      <c r="H127" s="3">
        <v>9.9499999999999993</v>
      </c>
      <c r="I127" s="3">
        <v>29.85</v>
      </c>
      <c r="J127" t="s">
        <v>32</v>
      </c>
      <c r="K127">
        <v>24</v>
      </c>
      <c r="L127">
        <v>21</v>
      </c>
      <c r="M127" t="s">
        <v>19</v>
      </c>
      <c r="N127">
        <f t="shared" si="2"/>
        <v>29.849999999999998</v>
      </c>
      <c r="O127" t="b">
        <f t="shared" si="3"/>
        <v>1</v>
      </c>
    </row>
    <row r="128" spans="1:15">
      <c r="A128" t="s">
        <v>250</v>
      </c>
      <c r="B128" s="2">
        <v>46289</v>
      </c>
      <c r="C128" t="s">
        <v>251</v>
      </c>
      <c r="D128" t="s">
        <v>15</v>
      </c>
      <c r="E128" t="s">
        <v>103</v>
      </c>
      <c r="F128" t="s">
        <v>23</v>
      </c>
      <c r="G128">
        <v>2</v>
      </c>
      <c r="H128" s="3">
        <v>3.25</v>
      </c>
      <c r="I128" s="3">
        <v>6.5</v>
      </c>
      <c r="J128" t="s">
        <v>18</v>
      </c>
      <c r="K128">
        <v>30</v>
      </c>
      <c r="L128">
        <v>6</v>
      </c>
      <c r="M128" t="s">
        <v>19</v>
      </c>
      <c r="N128">
        <f t="shared" si="2"/>
        <v>6.5</v>
      </c>
      <c r="O128" t="b">
        <f t="shared" si="3"/>
        <v>1</v>
      </c>
    </row>
    <row r="129" spans="1:15">
      <c r="A129" t="s">
        <v>252</v>
      </c>
      <c r="B129" s="2">
        <v>46064</v>
      </c>
      <c r="C129" t="s">
        <v>160</v>
      </c>
      <c r="D129" t="s">
        <v>15</v>
      </c>
      <c r="E129" t="s">
        <v>50</v>
      </c>
      <c r="F129" t="s">
        <v>17</v>
      </c>
      <c r="G129">
        <v>1</v>
      </c>
      <c r="H129" s="3">
        <v>14.5</v>
      </c>
      <c r="I129" s="3">
        <v>14.5</v>
      </c>
      <c r="J129" t="s">
        <v>18</v>
      </c>
      <c r="K129">
        <v>19</v>
      </c>
      <c r="L129">
        <v>9</v>
      </c>
      <c r="M129" t="s">
        <v>19</v>
      </c>
      <c r="N129">
        <f t="shared" si="2"/>
        <v>14.5</v>
      </c>
      <c r="O129" t="b">
        <f t="shared" si="3"/>
        <v>1</v>
      </c>
    </row>
    <row r="130" spans="1:15">
      <c r="A130" t="s">
        <v>253</v>
      </c>
      <c r="B130" s="2">
        <v>46189</v>
      </c>
      <c r="C130" t="s">
        <v>254</v>
      </c>
      <c r="D130" t="s">
        <v>35</v>
      </c>
      <c r="E130" t="s">
        <v>126</v>
      </c>
      <c r="F130" t="s">
        <v>31</v>
      </c>
      <c r="G130">
        <v>1</v>
      </c>
      <c r="H130" s="3">
        <v>7.95</v>
      </c>
      <c r="I130" s="3">
        <v>7.95</v>
      </c>
      <c r="J130" t="s">
        <v>53</v>
      </c>
      <c r="K130">
        <v>4</v>
      </c>
      <c r="L130">
        <v>10</v>
      </c>
      <c r="M130" t="s">
        <v>19</v>
      </c>
      <c r="N130">
        <f t="shared" ref="N130:N193" si="4">G130*H130</f>
        <v>7.95</v>
      </c>
      <c r="O130" t="b">
        <f t="shared" ref="O130:O193" si="5">OR(AND(M130="Completed",I130=N130),AND(M130="Refunded",ABS(I130)=N130),AND(M130="Cancelled",I130=0))</f>
        <v>1</v>
      </c>
    </row>
    <row r="131" spans="1:15">
      <c r="A131" t="s">
        <v>255</v>
      </c>
      <c r="B131" s="2">
        <v>46133</v>
      </c>
      <c r="C131" t="s">
        <v>91</v>
      </c>
      <c r="D131" t="s">
        <v>35</v>
      </c>
      <c r="E131" t="s">
        <v>93</v>
      </c>
      <c r="F131" t="s">
        <v>31</v>
      </c>
      <c r="G131">
        <v>2</v>
      </c>
      <c r="H131" s="3">
        <v>6.25</v>
      </c>
      <c r="I131" s="3">
        <v>12.5</v>
      </c>
      <c r="J131" t="s">
        <v>18</v>
      </c>
      <c r="K131">
        <v>14</v>
      </c>
      <c r="L131">
        <v>24</v>
      </c>
      <c r="M131" t="s">
        <v>19</v>
      </c>
      <c r="N131">
        <f t="shared" si="4"/>
        <v>12.5</v>
      </c>
      <c r="O131" t="b">
        <f t="shared" si="5"/>
        <v>1</v>
      </c>
    </row>
    <row r="132" spans="1:15">
      <c r="A132" t="s">
        <v>256</v>
      </c>
      <c r="B132" s="2">
        <v>46183</v>
      </c>
      <c r="C132" t="s">
        <v>105</v>
      </c>
      <c r="D132" t="s">
        <v>35</v>
      </c>
      <c r="E132" t="s">
        <v>30</v>
      </c>
      <c r="F132" t="s">
        <v>31</v>
      </c>
      <c r="G132">
        <v>3</v>
      </c>
      <c r="H132" s="3">
        <v>8.5</v>
      </c>
      <c r="I132" s="3">
        <v>25.5</v>
      </c>
      <c r="J132" t="s">
        <v>27</v>
      </c>
      <c r="K132">
        <v>27</v>
      </c>
      <c r="L132">
        <v>21</v>
      </c>
      <c r="M132" t="s">
        <v>19</v>
      </c>
      <c r="N132">
        <f t="shared" si="4"/>
        <v>25.5</v>
      </c>
      <c r="O132" t="b">
        <f t="shared" si="5"/>
        <v>1</v>
      </c>
    </row>
    <row r="133" spans="1:15">
      <c r="A133" t="s">
        <v>257</v>
      </c>
      <c r="B133" s="2">
        <v>46244</v>
      </c>
      <c r="C133" t="s">
        <v>258</v>
      </c>
      <c r="D133" t="s">
        <v>15</v>
      </c>
      <c r="E133" t="s">
        <v>36</v>
      </c>
      <c r="F133" t="s">
        <v>23</v>
      </c>
      <c r="G133">
        <v>1</v>
      </c>
      <c r="H133" s="3">
        <v>2.8</v>
      </c>
      <c r="I133" s="3">
        <v>2.8</v>
      </c>
      <c r="J133" t="s">
        <v>27</v>
      </c>
      <c r="K133">
        <v>18</v>
      </c>
      <c r="L133">
        <v>7</v>
      </c>
      <c r="M133" t="s">
        <v>19</v>
      </c>
      <c r="N133">
        <f t="shared" si="4"/>
        <v>2.8</v>
      </c>
      <c r="O133" t="b">
        <f t="shared" si="5"/>
        <v>1</v>
      </c>
    </row>
    <row r="134" spans="1:15">
      <c r="A134" t="s">
        <v>259</v>
      </c>
      <c r="B134" s="2">
        <v>46085</v>
      </c>
      <c r="C134" t="s">
        <v>55</v>
      </c>
      <c r="D134" t="s">
        <v>35</v>
      </c>
      <c r="E134" t="s">
        <v>83</v>
      </c>
      <c r="F134" t="s">
        <v>17</v>
      </c>
      <c r="G134">
        <v>3</v>
      </c>
      <c r="H134" s="3">
        <v>13.5</v>
      </c>
      <c r="I134" s="3">
        <v>40.5</v>
      </c>
      <c r="J134" t="s">
        <v>27</v>
      </c>
      <c r="K134">
        <v>17</v>
      </c>
      <c r="L134">
        <v>18</v>
      </c>
      <c r="M134" t="s">
        <v>19</v>
      </c>
      <c r="N134">
        <f t="shared" si="4"/>
        <v>40.5</v>
      </c>
      <c r="O134" t="b">
        <f t="shared" si="5"/>
        <v>1</v>
      </c>
    </row>
    <row r="135" spans="1:15">
      <c r="A135" t="s">
        <v>260</v>
      </c>
      <c r="B135" s="2">
        <v>46269</v>
      </c>
      <c r="C135" t="s">
        <v>45</v>
      </c>
      <c r="D135" t="s">
        <v>15</v>
      </c>
      <c r="E135" t="s">
        <v>36</v>
      </c>
      <c r="F135" t="s">
        <v>23</v>
      </c>
      <c r="G135">
        <v>1</v>
      </c>
      <c r="H135" s="3">
        <v>2.8</v>
      </c>
      <c r="I135" s="3">
        <v>-2.8</v>
      </c>
      <c r="J135" t="s">
        <v>18</v>
      </c>
      <c r="K135">
        <v>9</v>
      </c>
      <c r="L135">
        <v>11</v>
      </c>
      <c r="M135" t="s">
        <v>62</v>
      </c>
      <c r="N135">
        <f t="shared" si="4"/>
        <v>2.8</v>
      </c>
      <c r="O135" t="b">
        <f t="shared" si="5"/>
        <v>1</v>
      </c>
    </row>
    <row r="136" spans="1:15">
      <c r="A136" t="s">
        <v>261</v>
      </c>
      <c r="B136" s="2">
        <v>46242</v>
      </c>
      <c r="C136" t="s">
        <v>193</v>
      </c>
      <c r="D136" t="s">
        <v>35</v>
      </c>
      <c r="E136" t="s">
        <v>36</v>
      </c>
      <c r="F136" t="s">
        <v>23</v>
      </c>
      <c r="G136">
        <v>1</v>
      </c>
      <c r="H136" s="3">
        <v>2.8</v>
      </c>
      <c r="I136" s="3">
        <v>2.8</v>
      </c>
      <c r="J136" t="s">
        <v>27</v>
      </c>
      <c r="K136">
        <v>6</v>
      </c>
      <c r="L136">
        <v>15</v>
      </c>
      <c r="M136" t="s">
        <v>19</v>
      </c>
      <c r="N136">
        <f t="shared" si="4"/>
        <v>2.8</v>
      </c>
      <c r="O136" t="b">
        <f t="shared" si="5"/>
        <v>1</v>
      </c>
    </row>
    <row r="137" spans="1:15">
      <c r="A137" t="s">
        <v>262</v>
      </c>
      <c r="B137" s="2">
        <v>46181</v>
      </c>
      <c r="C137" t="s">
        <v>263</v>
      </c>
      <c r="D137" t="s">
        <v>35</v>
      </c>
      <c r="E137" t="s">
        <v>106</v>
      </c>
      <c r="F137" t="s">
        <v>17</v>
      </c>
      <c r="G137">
        <v>2</v>
      </c>
      <c r="H137" s="3">
        <v>15.95</v>
      </c>
      <c r="I137" s="3">
        <v>31.9</v>
      </c>
      <c r="J137" t="s">
        <v>18</v>
      </c>
      <c r="K137">
        <v>22</v>
      </c>
      <c r="L137">
        <v>15</v>
      </c>
      <c r="M137" t="s">
        <v>19</v>
      </c>
      <c r="N137">
        <f t="shared" si="4"/>
        <v>31.9</v>
      </c>
      <c r="O137" t="b">
        <f t="shared" si="5"/>
        <v>1</v>
      </c>
    </row>
    <row r="138" spans="1:15">
      <c r="A138" t="s">
        <v>264</v>
      </c>
      <c r="B138" s="2">
        <v>46095</v>
      </c>
      <c r="C138" t="s">
        <v>265</v>
      </c>
      <c r="D138" t="s">
        <v>35</v>
      </c>
      <c r="E138" t="s">
        <v>22</v>
      </c>
      <c r="F138" t="s">
        <v>23</v>
      </c>
      <c r="G138">
        <v>1</v>
      </c>
      <c r="H138" s="3">
        <v>3.1</v>
      </c>
      <c r="I138" s="3">
        <v>3.1</v>
      </c>
      <c r="J138" t="s">
        <v>18</v>
      </c>
      <c r="K138">
        <v>10</v>
      </c>
      <c r="L138">
        <v>9</v>
      </c>
      <c r="M138" t="s">
        <v>19</v>
      </c>
      <c r="N138">
        <f t="shared" si="4"/>
        <v>3.1</v>
      </c>
      <c r="O138" t="b">
        <f t="shared" si="5"/>
        <v>1</v>
      </c>
    </row>
    <row r="139" spans="1:15">
      <c r="A139" t="s">
        <v>266</v>
      </c>
      <c r="B139" s="2">
        <v>46066</v>
      </c>
      <c r="C139" t="s">
        <v>85</v>
      </c>
      <c r="D139" t="s">
        <v>35</v>
      </c>
      <c r="E139" t="s">
        <v>56</v>
      </c>
      <c r="F139" t="s">
        <v>23</v>
      </c>
      <c r="G139">
        <v>1</v>
      </c>
      <c r="H139" s="3">
        <v>3.75</v>
      </c>
      <c r="I139" s="3">
        <v>3.75</v>
      </c>
      <c r="J139" t="s">
        <v>18</v>
      </c>
      <c r="K139">
        <v>9</v>
      </c>
      <c r="L139">
        <v>14</v>
      </c>
      <c r="M139" t="s">
        <v>19</v>
      </c>
      <c r="N139">
        <f t="shared" si="4"/>
        <v>3.75</v>
      </c>
      <c r="O139" t="b">
        <f t="shared" si="5"/>
        <v>1</v>
      </c>
    </row>
    <row r="140" spans="1:15">
      <c r="A140" t="s">
        <v>267</v>
      </c>
      <c r="B140" s="2">
        <v>46240</v>
      </c>
      <c r="C140" t="s">
        <v>212</v>
      </c>
      <c r="D140" t="s">
        <v>35</v>
      </c>
      <c r="E140" t="s">
        <v>41</v>
      </c>
      <c r="F140" t="s">
        <v>31</v>
      </c>
      <c r="G140">
        <v>1</v>
      </c>
      <c r="H140" s="3">
        <v>5.5</v>
      </c>
      <c r="I140" s="3">
        <v>5.5</v>
      </c>
      <c r="J140" t="s">
        <v>18</v>
      </c>
      <c r="K140">
        <v>10</v>
      </c>
      <c r="L140">
        <v>24</v>
      </c>
      <c r="M140" t="s">
        <v>19</v>
      </c>
      <c r="N140">
        <f t="shared" si="4"/>
        <v>5.5</v>
      </c>
      <c r="O140" t="b">
        <f t="shared" si="5"/>
        <v>1</v>
      </c>
    </row>
    <row r="141" spans="1:15">
      <c r="A141" t="s">
        <v>268</v>
      </c>
      <c r="B141" s="2">
        <v>46272</v>
      </c>
      <c r="C141" t="s">
        <v>263</v>
      </c>
      <c r="D141" t="s">
        <v>35</v>
      </c>
      <c r="E141" t="s">
        <v>16</v>
      </c>
      <c r="F141" t="s">
        <v>17</v>
      </c>
      <c r="G141">
        <v>1</v>
      </c>
      <c r="H141" s="3">
        <v>9.9499999999999993</v>
      </c>
      <c r="I141" s="3">
        <v>9.9499999999999993</v>
      </c>
      <c r="J141" t="s">
        <v>27</v>
      </c>
      <c r="K141">
        <v>2</v>
      </c>
      <c r="L141">
        <v>24</v>
      </c>
      <c r="M141" t="s">
        <v>19</v>
      </c>
      <c r="N141">
        <f t="shared" si="4"/>
        <v>9.9499999999999993</v>
      </c>
      <c r="O141" t="b">
        <f t="shared" si="5"/>
        <v>1</v>
      </c>
    </row>
    <row r="142" spans="1:15">
      <c r="A142" t="s">
        <v>269</v>
      </c>
      <c r="B142" s="2">
        <v>46177</v>
      </c>
      <c r="C142" t="s">
        <v>158</v>
      </c>
      <c r="D142" t="s">
        <v>35</v>
      </c>
      <c r="E142" t="s">
        <v>126</v>
      </c>
      <c r="F142" t="s">
        <v>31</v>
      </c>
      <c r="G142">
        <v>1</v>
      </c>
      <c r="H142" s="3">
        <v>7.95</v>
      </c>
      <c r="I142" s="3">
        <v>7.95</v>
      </c>
      <c r="J142" t="s">
        <v>18</v>
      </c>
      <c r="K142">
        <v>5</v>
      </c>
      <c r="L142">
        <v>13</v>
      </c>
      <c r="M142" t="s">
        <v>19</v>
      </c>
      <c r="N142">
        <f t="shared" si="4"/>
        <v>7.95</v>
      </c>
      <c r="O142" t="b">
        <f t="shared" si="5"/>
        <v>1</v>
      </c>
    </row>
    <row r="143" spans="1:15">
      <c r="A143" t="s">
        <v>270</v>
      </c>
      <c r="B143" s="2">
        <v>46140</v>
      </c>
      <c r="C143" t="s">
        <v>271</v>
      </c>
      <c r="D143" t="s">
        <v>35</v>
      </c>
      <c r="E143" t="s">
        <v>39</v>
      </c>
      <c r="F143" t="s">
        <v>17</v>
      </c>
      <c r="G143">
        <v>1</v>
      </c>
      <c r="H143" s="3">
        <v>12.95</v>
      </c>
      <c r="I143" s="3">
        <v>0</v>
      </c>
      <c r="J143" t="s">
        <v>18</v>
      </c>
      <c r="K143">
        <v>2</v>
      </c>
      <c r="L143">
        <v>20</v>
      </c>
      <c r="M143" t="s">
        <v>152</v>
      </c>
      <c r="N143">
        <f t="shared" si="4"/>
        <v>12.95</v>
      </c>
      <c r="O143" t="b">
        <f t="shared" si="5"/>
        <v>1</v>
      </c>
    </row>
    <row r="144" spans="1:15">
      <c r="A144" t="s">
        <v>272</v>
      </c>
      <c r="B144" s="2">
        <v>46258</v>
      </c>
      <c r="C144" t="s">
        <v>273</v>
      </c>
      <c r="D144" t="s">
        <v>35</v>
      </c>
      <c r="E144" t="s">
        <v>78</v>
      </c>
      <c r="F144" t="s">
        <v>47</v>
      </c>
      <c r="G144">
        <v>1</v>
      </c>
      <c r="H144" s="3">
        <v>7.25</v>
      </c>
      <c r="I144" s="3">
        <v>7.25</v>
      </c>
      <c r="J144" t="s">
        <v>27</v>
      </c>
      <c r="K144">
        <v>13</v>
      </c>
      <c r="L144">
        <v>16</v>
      </c>
      <c r="M144" t="s">
        <v>19</v>
      </c>
      <c r="N144">
        <f t="shared" si="4"/>
        <v>7.25</v>
      </c>
      <c r="O144" t="b">
        <f t="shared" si="5"/>
        <v>1</v>
      </c>
    </row>
    <row r="145" spans="1:15">
      <c r="A145" t="s">
        <v>274</v>
      </c>
      <c r="B145" s="2">
        <v>46189</v>
      </c>
      <c r="C145" t="s">
        <v>275</v>
      </c>
      <c r="D145" t="s">
        <v>15</v>
      </c>
      <c r="E145" t="s">
        <v>30</v>
      </c>
      <c r="F145" t="s">
        <v>31</v>
      </c>
      <c r="G145">
        <v>1</v>
      </c>
      <c r="H145" s="3">
        <v>8.5</v>
      </c>
      <c r="I145" s="3">
        <v>8.5</v>
      </c>
      <c r="J145" t="s">
        <v>18</v>
      </c>
      <c r="K145">
        <v>8</v>
      </c>
      <c r="L145">
        <v>12</v>
      </c>
      <c r="M145" t="s">
        <v>19</v>
      </c>
      <c r="N145">
        <f t="shared" si="4"/>
        <v>8.5</v>
      </c>
      <c r="O145" t="b">
        <f t="shared" si="5"/>
        <v>1</v>
      </c>
    </row>
    <row r="146" spans="1:15">
      <c r="A146" t="s">
        <v>276</v>
      </c>
      <c r="B146" s="2">
        <v>46228</v>
      </c>
      <c r="C146" t="s">
        <v>195</v>
      </c>
      <c r="D146" t="s">
        <v>35</v>
      </c>
      <c r="E146" t="s">
        <v>93</v>
      </c>
      <c r="F146" t="s">
        <v>31</v>
      </c>
      <c r="G146">
        <v>1</v>
      </c>
      <c r="H146" s="3">
        <v>6.25</v>
      </c>
      <c r="I146" s="3">
        <v>-6.25</v>
      </c>
      <c r="J146" t="s">
        <v>18</v>
      </c>
      <c r="K146">
        <v>4</v>
      </c>
      <c r="L146">
        <v>23</v>
      </c>
      <c r="M146" t="s">
        <v>62</v>
      </c>
      <c r="N146">
        <f t="shared" si="4"/>
        <v>6.25</v>
      </c>
      <c r="O146" t="b">
        <f t="shared" si="5"/>
        <v>1</v>
      </c>
    </row>
    <row r="147" spans="1:15">
      <c r="A147" t="s">
        <v>277</v>
      </c>
      <c r="B147" s="2">
        <v>46122</v>
      </c>
      <c r="C147" t="s">
        <v>118</v>
      </c>
      <c r="D147" t="s">
        <v>35</v>
      </c>
      <c r="E147" t="s">
        <v>50</v>
      </c>
      <c r="F147" t="s">
        <v>17</v>
      </c>
      <c r="G147">
        <v>1</v>
      </c>
      <c r="H147" s="3">
        <v>14.5</v>
      </c>
      <c r="I147" s="3">
        <v>14.5</v>
      </c>
      <c r="J147" t="s">
        <v>27</v>
      </c>
      <c r="K147">
        <v>9</v>
      </c>
      <c r="L147">
        <v>26</v>
      </c>
      <c r="M147" t="s">
        <v>19</v>
      </c>
      <c r="N147">
        <f t="shared" si="4"/>
        <v>14.5</v>
      </c>
      <c r="O147" t="b">
        <f t="shared" si="5"/>
        <v>1</v>
      </c>
    </row>
    <row r="148" spans="1:15">
      <c r="A148" t="s">
        <v>278</v>
      </c>
      <c r="B148" s="2">
        <v>46101</v>
      </c>
      <c r="C148" t="s">
        <v>279</v>
      </c>
      <c r="D148" t="s">
        <v>35</v>
      </c>
      <c r="E148" t="s">
        <v>106</v>
      </c>
      <c r="F148" t="s">
        <v>17</v>
      </c>
      <c r="G148">
        <v>3</v>
      </c>
      <c r="H148" s="3">
        <v>15.95</v>
      </c>
      <c r="I148" s="3">
        <v>47.85</v>
      </c>
      <c r="J148" t="s">
        <v>18</v>
      </c>
      <c r="K148">
        <v>25</v>
      </c>
      <c r="L148">
        <v>9</v>
      </c>
      <c r="M148" t="s">
        <v>19</v>
      </c>
      <c r="N148">
        <f t="shared" si="4"/>
        <v>47.849999999999994</v>
      </c>
      <c r="O148" t="b">
        <f t="shared" si="5"/>
        <v>1</v>
      </c>
    </row>
    <row r="149" spans="1:15">
      <c r="A149" t="s">
        <v>280</v>
      </c>
      <c r="B149" s="2">
        <v>46188</v>
      </c>
      <c r="C149" t="s">
        <v>271</v>
      </c>
      <c r="D149" t="s">
        <v>35</v>
      </c>
      <c r="E149" t="s">
        <v>50</v>
      </c>
      <c r="F149" t="s">
        <v>17</v>
      </c>
      <c r="G149">
        <v>1</v>
      </c>
      <c r="H149" s="3">
        <v>14.5</v>
      </c>
      <c r="I149" s="3">
        <v>14.5</v>
      </c>
      <c r="J149" t="s">
        <v>18</v>
      </c>
      <c r="K149">
        <v>15</v>
      </c>
      <c r="L149">
        <v>20</v>
      </c>
      <c r="M149" t="s">
        <v>19</v>
      </c>
      <c r="N149">
        <f t="shared" si="4"/>
        <v>14.5</v>
      </c>
      <c r="O149" t="b">
        <f t="shared" si="5"/>
        <v>1</v>
      </c>
    </row>
    <row r="150" spans="1:15">
      <c r="A150" t="s">
        <v>281</v>
      </c>
      <c r="B150" s="2">
        <v>46163</v>
      </c>
      <c r="C150" t="s">
        <v>102</v>
      </c>
      <c r="D150" t="s">
        <v>35</v>
      </c>
      <c r="E150" t="s">
        <v>39</v>
      </c>
      <c r="F150" t="s">
        <v>17</v>
      </c>
      <c r="G150">
        <v>1</v>
      </c>
      <c r="H150" s="3">
        <v>12.95</v>
      </c>
      <c r="I150" s="3">
        <v>12.95</v>
      </c>
      <c r="J150" t="s">
        <v>27</v>
      </c>
      <c r="K150">
        <v>10</v>
      </c>
      <c r="L150">
        <v>25</v>
      </c>
      <c r="M150" t="s">
        <v>19</v>
      </c>
      <c r="N150">
        <f t="shared" si="4"/>
        <v>12.95</v>
      </c>
      <c r="O150" t="b">
        <f t="shared" si="5"/>
        <v>1</v>
      </c>
    </row>
    <row r="151" spans="1:15">
      <c r="A151" t="s">
        <v>282</v>
      </c>
      <c r="B151" s="2">
        <v>46069</v>
      </c>
      <c r="C151" t="s">
        <v>145</v>
      </c>
      <c r="D151" t="s">
        <v>35</v>
      </c>
      <c r="E151" t="s">
        <v>96</v>
      </c>
      <c r="F151" t="s">
        <v>47</v>
      </c>
      <c r="G151">
        <v>2</v>
      </c>
      <c r="H151" s="3">
        <v>5.75</v>
      </c>
      <c r="I151" s="3">
        <v>0</v>
      </c>
      <c r="J151" t="s">
        <v>27</v>
      </c>
      <c r="K151">
        <v>29</v>
      </c>
      <c r="L151">
        <v>21</v>
      </c>
      <c r="M151" t="s">
        <v>152</v>
      </c>
      <c r="N151">
        <f t="shared" si="4"/>
        <v>11.5</v>
      </c>
      <c r="O151" t="b">
        <f t="shared" si="5"/>
        <v>1</v>
      </c>
    </row>
    <row r="152" spans="1:15">
      <c r="A152" t="s">
        <v>283</v>
      </c>
      <c r="B152" s="2">
        <v>46119</v>
      </c>
      <c r="C152" t="s">
        <v>284</v>
      </c>
      <c r="D152" t="s">
        <v>15</v>
      </c>
      <c r="E152" t="s">
        <v>50</v>
      </c>
      <c r="F152" t="s">
        <v>17</v>
      </c>
      <c r="G152">
        <v>3</v>
      </c>
      <c r="H152" s="3">
        <v>14.5</v>
      </c>
      <c r="I152" s="3">
        <v>43.5</v>
      </c>
      <c r="J152" t="s">
        <v>53</v>
      </c>
      <c r="K152">
        <v>11</v>
      </c>
      <c r="L152">
        <v>26</v>
      </c>
      <c r="M152" t="s">
        <v>19</v>
      </c>
      <c r="N152">
        <f t="shared" si="4"/>
        <v>43.5</v>
      </c>
      <c r="O152" t="b">
        <f t="shared" si="5"/>
        <v>1</v>
      </c>
    </row>
    <row r="153" spans="1:15">
      <c r="A153" t="s">
        <v>285</v>
      </c>
      <c r="B153" s="2">
        <v>46066</v>
      </c>
      <c r="C153" t="s">
        <v>286</v>
      </c>
      <c r="D153" t="s">
        <v>35</v>
      </c>
      <c r="E153" t="s">
        <v>16</v>
      </c>
      <c r="F153" t="s">
        <v>17</v>
      </c>
      <c r="G153">
        <v>2</v>
      </c>
      <c r="H153" s="3">
        <v>9.9499999999999993</v>
      </c>
      <c r="I153" s="3">
        <v>19.899999999999999</v>
      </c>
      <c r="J153" t="s">
        <v>18</v>
      </c>
      <c r="K153">
        <v>17</v>
      </c>
      <c r="L153">
        <v>27</v>
      </c>
      <c r="M153" t="s">
        <v>19</v>
      </c>
      <c r="N153">
        <f t="shared" si="4"/>
        <v>19.899999999999999</v>
      </c>
      <c r="O153" t="b">
        <f t="shared" si="5"/>
        <v>1</v>
      </c>
    </row>
    <row r="154" spans="1:15">
      <c r="A154" t="s">
        <v>287</v>
      </c>
      <c r="B154" s="2">
        <v>46104</v>
      </c>
      <c r="C154" t="s">
        <v>288</v>
      </c>
      <c r="D154" t="s">
        <v>15</v>
      </c>
      <c r="E154" t="s">
        <v>78</v>
      </c>
      <c r="F154" t="s">
        <v>47</v>
      </c>
      <c r="G154">
        <v>2</v>
      </c>
      <c r="H154" s="3">
        <v>7.25</v>
      </c>
      <c r="I154" s="3">
        <v>14.5</v>
      </c>
      <c r="J154" t="s">
        <v>27</v>
      </c>
      <c r="K154">
        <v>21</v>
      </c>
      <c r="L154">
        <v>7</v>
      </c>
      <c r="M154" t="s">
        <v>19</v>
      </c>
      <c r="N154">
        <f t="shared" si="4"/>
        <v>14.5</v>
      </c>
      <c r="O154" t="b">
        <f t="shared" si="5"/>
        <v>1</v>
      </c>
    </row>
    <row r="155" spans="1:15">
      <c r="A155" t="s">
        <v>289</v>
      </c>
      <c r="B155" s="2">
        <v>46191</v>
      </c>
      <c r="C155" t="s">
        <v>43</v>
      </c>
      <c r="D155" t="s">
        <v>15</v>
      </c>
      <c r="E155" t="s">
        <v>41</v>
      </c>
      <c r="F155" t="s">
        <v>31</v>
      </c>
      <c r="G155">
        <v>2</v>
      </c>
      <c r="H155" s="3">
        <v>5.5</v>
      </c>
      <c r="I155" s="3">
        <v>11</v>
      </c>
      <c r="J155" t="s">
        <v>18</v>
      </c>
      <c r="K155">
        <v>30</v>
      </c>
      <c r="L155">
        <v>9</v>
      </c>
      <c r="M155" t="s">
        <v>19</v>
      </c>
      <c r="N155">
        <f t="shared" si="4"/>
        <v>11</v>
      </c>
      <c r="O155" t="b">
        <f t="shared" si="5"/>
        <v>1</v>
      </c>
    </row>
    <row r="156" spans="1:15">
      <c r="A156" t="s">
        <v>290</v>
      </c>
      <c r="B156" s="2">
        <v>46099</v>
      </c>
      <c r="C156" t="s">
        <v>124</v>
      </c>
      <c r="D156" t="s">
        <v>15</v>
      </c>
      <c r="E156" t="s">
        <v>50</v>
      </c>
      <c r="F156" t="s">
        <v>17</v>
      </c>
      <c r="G156">
        <v>3</v>
      </c>
      <c r="H156" s="3">
        <v>14.5</v>
      </c>
      <c r="I156" s="3">
        <v>43.5</v>
      </c>
      <c r="J156" t="s">
        <v>27</v>
      </c>
      <c r="K156">
        <v>13</v>
      </c>
      <c r="L156">
        <v>25</v>
      </c>
      <c r="M156" t="s">
        <v>19</v>
      </c>
      <c r="N156">
        <f t="shared" si="4"/>
        <v>43.5</v>
      </c>
      <c r="O156" t="b">
        <f t="shared" si="5"/>
        <v>1</v>
      </c>
    </row>
    <row r="157" spans="1:15">
      <c r="A157" t="s">
        <v>291</v>
      </c>
      <c r="B157" s="2">
        <v>46066</v>
      </c>
      <c r="C157" t="s">
        <v>128</v>
      </c>
      <c r="D157" t="s">
        <v>15</v>
      </c>
      <c r="E157" t="s">
        <v>93</v>
      </c>
      <c r="F157" t="s">
        <v>31</v>
      </c>
      <c r="G157">
        <v>2</v>
      </c>
      <c r="H157" s="3">
        <v>6.25</v>
      </c>
      <c r="I157" s="3">
        <v>12.5</v>
      </c>
      <c r="J157" t="s">
        <v>32</v>
      </c>
      <c r="K157">
        <v>23</v>
      </c>
      <c r="L157">
        <v>14</v>
      </c>
      <c r="M157" t="s">
        <v>19</v>
      </c>
      <c r="N157">
        <f t="shared" si="4"/>
        <v>12.5</v>
      </c>
      <c r="O157" t="b">
        <f t="shared" si="5"/>
        <v>1</v>
      </c>
    </row>
    <row r="158" spans="1:15">
      <c r="A158" t="s">
        <v>292</v>
      </c>
      <c r="B158" s="2">
        <v>46292</v>
      </c>
      <c r="C158" t="s">
        <v>284</v>
      </c>
      <c r="D158" t="s">
        <v>15</v>
      </c>
      <c r="E158" t="s">
        <v>30</v>
      </c>
      <c r="F158" t="s">
        <v>31</v>
      </c>
      <c r="G158">
        <v>1</v>
      </c>
      <c r="H158" s="3">
        <v>8.5</v>
      </c>
      <c r="I158" s="3">
        <v>8.5</v>
      </c>
      <c r="J158" t="s">
        <v>18</v>
      </c>
      <c r="K158">
        <v>25</v>
      </c>
      <c r="L158">
        <v>17</v>
      </c>
      <c r="M158" t="s">
        <v>19</v>
      </c>
      <c r="N158">
        <f t="shared" si="4"/>
        <v>8.5</v>
      </c>
      <c r="O158" t="b">
        <f t="shared" si="5"/>
        <v>1</v>
      </c>
    </row>
    <row r="159" spans="1:15">
      <c r="A159" t="s">
        <v>293</v>
      </c>
      <c r="B159" s="2">
        <v>46138</v>
      </c>
      <c r="C159" t="s">
        <v>169</v>
      </c>
      <c r="D159" t="s">
        <v>35</v>
      </c>
      <c r="E159" t="s">
        <v>126</v>
      </c>
      <c r="F159" t="s">
        <v>31</v>
      </c>
      <c r="G159">
        <v>2</v>
      </c>
      <c r="H159" s="3">
        <v>7.95</v>
      </c>
      <c r="I159" s="3">
        <v>15.9</v>
      </c>
      <c r="J159" t="s">
        <v>32</v>
      </c>
      <c r="K159">
        <v>17</v>
      </c>
      <c r="L159">
        <v>23</v>
      </c>
      <c r="M159" t="s">
        <v>19</v>
      </c>
      <c r="N159">
        <f t="shared" si="4"/>
        <v>15.9</v>
      </c>
      <c r="O159" t="b">
        <f t="shared" si="5"/>
        <v>1</v>
      </c>
    </row>
    <row r="160" spans="1:15">
      <c r="A160" t="s">
        <v>294</v>
      </c>
      <c r="B160" s="2">
        <v>46292</v>
      </c>
      <c r="C160" t="s">
        <v>295</v>
      </c>
      <c r="D160" t="s">
        <v>15</v>
      </c>
      <c r="E160" t="s">
        <v>50</v>
      </c>
      <c r="F160" t="s">
        <v>17</v>
      </c>
      <c r="G160">
        <v>2</v>
      </c>
      <c r="H160" s="3">
        <v>14.5</v>
      </c>
      <c r="I160" s="3">
        <v>29</v>
      </c>
      <c r="J160" t="s">
        <v>18</v>
      </c>
      <c r="K160">
        <v>25</v>
      </c>
      <c r="L160">
        <v>21</v>
      </c>
      <c r="M160" t="s">
        <v>19</v>
      </c>
      <c r="N160">
        <f t="shared" si="4"/>
        <v>29</v>
      </c>
      <c r="O160" t="b">
        <f t="shared" si="5"/>
        <v>1</v>
      </c>
    </row>
    <row r="161" spans="1:15">
      <c r="A161" t="s">
        <v>296</v>
      </c>
      <c r="B161" s="2">
        <v>46107</v>
      </c>
      <c r="C161" t="s">
        <v>297</v>
      </c>
      <c r="D161" t="s">
        <v>35</v>
      </c>
      <c r="E161" t="s">
        <v>30</v>
      </c>
      <c r="F161" t="s">
        <v>31</v>
      </c>
      <c r="G161">
        <v>2</v>
      </c>
      <c r="H161" s="3">
        <v>8.5</v>
      </c>
      <c r="I161" s="3">
        <v>17</v>
      </c>
      <c r="J161" t="s">
        <v>18</v>
      </c>
      <c r="K161">
        <v>15</v>
      </c>
      <c r="L161">
        <v>29</v>
      </c>
      <c r="M161" t="s">
        <v>19</v>
      </c>
      <c r="N161">
        <f t="shared" si="4"/>
        <v>17</v>
      </c>
      <c r="O161" t="b">
        <f t="shared" si="5"/>
        <v>1</v>
      </c>
    </row>
    <row r="162" spans="1:15">
      <c r="A162" t="s">
        <v>298</v>
      </c>
      <c r="B162" s="2">
        <v>46252</v>
      </c>
      <c r="C162" t="s">
        <v>38</v>
      </c>
      <c r="D162" t="s">
        <v>15</v>
      </c>
      <c r="E162" t="s">
        <v>103</v>
      </c>
      <c r="F162" t="s">
        <v>23</v>
      </c>
      <c r="G162">
        <v>3</v>
      </c>
      <c r="H162" s="3">
        <v>3.25</v>
      </c>
      <c r="I162" s="3">
        <v>9.75</v>
      </c>
      <c r="J162" t="s">
        <v>18</v>
      </c>
      <c r="K162">
        <v>15</v>
      </c>
      <c r="L162">
        <v>2</v>
      </c>
      <c r="M162" t="s">
        <v>19</v>
      </c>
      <c r="N162">
        <f t="shared" si="4"/>
        <v>9.75</v>
      </c>
      <c r="O162" t="b">
        <f t="shared" si="5"/>
        <v>1</v>
      </c>
    </row>
    <row r="163" spans="1:15">
      <c r="A163" t="s">
        <v>299</v>
      </c>
      <c r="B163" s="2">
        <v>46167</v>
      </c>
      <c r="C163" t="s">
        <v>254</v>
      </c>
      <c r="D163" t="s">
        <v>35</v>
      </c>
      <c r="E163" t="s">
        <v>78</v>
      </c>
      <c r="F163" t="s">
        <v>47</v>
      </c>
      <c r="G163">
        <v>3</v>
      </c>
      <c r="H163" s="3">
        <v>7.25</v>
      </c>
      <c r="I163" s="3">
        <v>21.75</v>
      </c>
      <c r="J163" t="s">
        <v>18</v>
      </c>
      <c r="K163">
        <v>26</v>
      </c>
      <c r="L163">
        <v>30</v>
      </c>
      <c r="M163" t="s">
        <v>19</v>
      </c>
      <c r="N163">
        <f t="shared" si="4"/>
        <v>21.75</v>
      </c>
      <c r="O163" t="b">
        <f t="shared" si="5"/>
        <v>1</v>
      </c>
    </row>
    <row r="164" spans="1:15">
      <c r="A164" t="s">
        <v>300</v>
      </c>
      <c r="B164" s="2">
        <v>46151</v>
      </c>
      <c r="C164" t="s">
        <v>77</v>
      </c>
      <c r="D164" t="s">
        <v>15</v>
      </c>
      <c r="E164" t="s">
        <v>36</v>
      </c>
      <c r="F164" t="s">
        <v>23</v>
      </c>
      <c r="G164">
        <v>3</v>
      </c>
      <c r="H164" s="3">
        <v>2.8</v>
      </c>
      <c r="I164" s="3">
        <v>8.4</v>
      </c>
      <c r="J164" t="s">
        <v>27</v>
      </c>
      <c r="K164">
        <v>10</v>
      </c>
      <c r="L164">
        <v>15</v>
      </c>
      <c r="M164" t="s">
        <v>19</v>
      </c>
      <c r="N164">
        <f t="shared" si="4"/>
        <v>8.3999999999999986</v>
      </c>
      <c r="O164" t="b">
        <f t="shared" si="5"/>
        <v>1</v>
      </c>
    </row>
    <row r="165" spans="1:15">
      <c r="A165" t="s">
        <v>301</v>
      </c>
      <c r="B165" s="2">
        <v>46105</v>
      </c>
      <c r="C165" t="s">
        <v>239</v>
      </c>
      <c r="D165" t="s">
        <v>15</v>
      </c>
      <c r="E165" t="s">
        <v>78</v>
      </c>
      <c r="F165" t="s">
        <v>47</v>
      </c>
      <c r="G165">
        <v>1</v>
      </c>
      <c r="H165" s="3">
        <v>7.25</v>
      </c>
      <c r="I165" s="3">
        <v>7.25</v>
      </c>
      <c r="J165" t="s">
        <v>18</v>
      </c>
      <c r="K165">
        <v>27</v>
      </c>
      <c r="L165">
        <v>6</v>
      </c>
      <c r="M165" t="s">
        <v>19</v>
      </c>
      <c r="N165">
        <f t="shared" si="4"/>
        <v>7.25</v>
      </c>
      <c r="O165" t="b">
        <f t="shared" si="5"/>
        <v>1</v>
      </c>
    </row>
    <row r="166" spans="1:15">
      <c r="A166" t="s">
        <v>302</v>
      </c>
      <c r="B166" s="2">
        <v>46201</v>
      </c>
      <c r="C166" t="s">
        <v>66</v>
      </c>
      <c r="D166" t="s">
        <v>35</v>
      </c>
      <c r="E166" t="s">
        <v>46</v>
      </c>
      <c r="F166" t="s">
        <v>47</v>
      </c>
      <c r="G166">
        <v>1</v>
      </c>
      <c r="H166" s="3">
        <v>6.95</v>
      </c>
      <c r="I166" s="3">
        <v>6.95</v>
      </c>
      <c r="J166" t="s">
        <v>27</v>
      </c>
      <c r="K166">
        <v>8</v>
      </c>
      <c r="L166">
        <v>18</v>
      </c>
      <c r="M166" t="s">
        <v>19</v>
      </c>
      <c r="N166">
        <f t="shared" si="4"/>
        <v>6.95</v>
      </c>
      <c r="O166" t="b">
        <f t="shared" si="5"/>
        <v>1</v>
      </c>
    </row>
    <row r="167" spans="1:15">
      <c r="A167" t="s">
        <v>303</v>
      </c>
      <c r="B167" s="2">
        <v>46073</v>
      </c>
      <c r="C167" t="s">
        <v>271</v>
      </c>
      <c r="D167" t="s">
        <v>35</v>
      </c>
      <c r="E167" t="s">
        <v>50</v>
      </c>
      <c r="F167" t="s">
        <v>17</v>
      </c>
      <c r="G167">
        <v>1</v>
      </c>
      <c r="H167" s="3">
        <v>14.5</v>
      </c>
      <c r="I167" s="3">
        <v>14.5</v>
      </c>
      <c r="J167" t="s">
        <v>32</v>
      </c>
      <c r="K167">
        <v>30</v>
      </c>
      <c r="L167">
        <v>21</v>
      </c>
      <c r="M167" t="s">
        <v>19</v>
      </c>
      <c r="N167">
        <f t="shared" si="4"/>
        <v>14.5</v>
      </c>
      <c r="O167" t="b">
        <f t="shared" si="5"/>
        <v>1</v>
      </c>
    </row>
    <row r="168" spans="1:15">
      <c r="A168" t="s">
        <v>304</v>
      </c>
      <c r="B168" s="2">
        <v>46094</v>
      </c>
      <c r="C168" t="s">
        <v>171</v>
      </c>
      <c r="D168" t="s">
        <v>35</v>
      </c>
      <c r="E168" t="s">
        <v>56</v>
      </c>
      <c r="F168" t="s">
        <v>23</v>
      </c>
      <c r="G168">
        <v>1</v>
      </c>
      <c r="H168" s="3">
        <v>3.75</v>
      </c>
      <c r="I168" s="3">
        <v>3.75</v>
      </c>
      <c r="J168" t="s">
        <v>18</v>
      </c>
      <c r="K168">
        <v>5</v>
      </c>
      <c r="L168">
        <v>17</v>
      </c>
      <c r="M168" t="s">
        <v>19</v>
      </c>
      <c r="N168">
        <f t="shared" si="4"/>
        <v>3.75</v>
      </c>
      <c r="O168" t="b">
        <f t="shared" si="5"/>
        <v>1</v>
      </c>
    </row>
    <row r="169" spans="1:15">
      <c r="A169" t="s">
        <v>305</v>
      </c>
      <c r="B169" s="2">
        <v>46293</v>
      </c>
      <c r="C169" t="s">
        <v>228</v>
      </c>
      <c r="D169" t="s">
        <v>35</v>
      </c>
      <c r="E169" t="s">
        <v>126</v>
      </c>
      <c r="F169" t="s">
        <v>31</v>
      </c>
      <c r="G169">
        <v>1</v>
      </c>
      <c r="H169" s="3">
        <v>7.95</v>
      </c>
      <c r="I169" s="3">
        <v>7.95</v>
      </c>
      <c r="J169" t="s">
        <v>18</v>
      </c>
      <c r="K169">
        <v>14</v>
      </c>
      <c r="L169">
        <v>20</v>
      </c>
      <c r="M169" t="s">
        <v>19</v>
      </c>
      <c r="N169">
        <f t="shared" si="4"/>
        <v>7.95</v>
      </c>
      <c r="O169" t="b">
        <f t="shared" si="5"/>
        <v>1</v>
      </c>
    </row>
    <row r="170" spans="1:15">
      <c r="A170" t="s">
        <v>306</v>
      </c>
      <c r="B170" s="2">
        <v>46257</v>
      </c>
      <c r="C170" t="s">
        <v>307</v>
      </c>
      <c r="D170" t="s">
        <v>15</v>
      </c>
      <c r="E170" t="s">
        <v>36</v>
      </c>
      <c r="F170" t="s">
        <v>23</v>
      </c>
      <c r="G170">
        <v>1</v>
      </c>
      <c r="H170" s="3">
        <v>2.8</v>
      </c>
      <c r="I170" s="3">
        <v>2.8</v>
      </c>
      <c r="J170" t="s">
        <v>18</v>
      </c>
      <c r="K170">
        <v>10</v>
      </c>
      <c r="L170">
        <v>2</v>
      </c>
      <c r="M170" t="s">
        <v>19</v>
      </c>
      <c r="N170">
        <f t="shared" si="4"/>
        <v>2.8</v>
      </c>
      <c r="O170" t="b">
        <f t="shared" si="5"/>
        <v>1</v>
      </c>
    </row>
    <row r="171" spans="1:15">
      <c r="A171" t="s">
        <v>308</v>
      </c>
      <c r="B171" s="2">
        <v>46203</v>
      </c>
      <c r="C171" t="s">
        <v>150</v>
      </c>
      <c r="D171" t="s">
        <v>15</v>
      </c>
      <c r="E171" t="s">
        <v>39</v>
      </c>
      <c r="F171" t="s">
        <v>17</v>
      </c>
      <c r="G171">
        <v>1</v>
      </c>
      <c r="H171" s="3">
        <v>12.95</v>
      </c>
      <c r="I171" s="3">
        <v>12.95</v>
      </c>
      <c r="J171" t="s">
        <v>53</v>
      </c>
      <c r="K171">
        <v>3</v>
      </c>
      <c r="L171">
        <v>11</v>
      </c>
      <c r="M171" t="s">
        <v>19</v>
      </c>
      <c r="N171">
        <f t="shared" si="4"/>
        <v>12.95</v>
      </c>
      <c r="O171" t="b">
        <f t="shared" si="5"/>
        <v>1</v>
      </c>
    </row>
    <row r="172" spans="1:15">
      <c r="A172" t="s">
        <v>309</v>
      </c>
      <c r="B172" s="2">
        <v>46282</v>
      </c>
      <c r="C172" t="s">
        <v>254</v>
      </c>
      <c r="D172" t="s">
        <v>35</v>
      </c>
      <c r="E172" t="s">
        <v>26</v>
      </c>
      <c r="F172" t="s">
        <v>17</v>
      </c>
      <c r="G172">
        <v>1</v>
      </c>
      <c r="H172" s="3">
        <v>11.5</v>
      </c>
      <c r="I172" s="3">
        <v>11.5</v>
      </c>
      <c r="J172" t="s">
        <v>27</v>
      </c>
      <c r="K172">
        <v>12</v>
      </c>
      <c r="L172">
        <v>25</v>
      </c>
      <c r="M172" t="s">
        <v>19</v>
      </c>
      <c r="N172">
        <f t="shared" si="4"/>
        <v>11.5</v>
      </c>
      <c r="O172" t="b">
        <f t="shared" si="5"/>
        <v>1</v>
      </c>
    </row>
    <row r="173" spans="1:15">
      <c r="A173" t="s">
        <v>310</v>
      </c>
      <c r="B173" s="2">
        <v>46031</v>
      </c>
      <c r="C173" t="s">
        <v>45</v>
      </c>
      <c r="D173" t="s">
        <v>15</v>
      </c>
      <c r="E173" t="s">
        <v>16</v>
      </c>
      <c r="F173" t="s">
        <v>17</v>
      </c>
      <c r="G173">
        <v>2</v>
      </c>
      <c r="H173" s="3">
        <v>9.9499999999999993</v>
      </c>
      <c r="I173" s="3">
        <v>19.899999999999999</v>
      </c>
      <c r="J173" t="s">
        <v>32</v>
      </c>
      <c r="K173">
        <v>4</v>
      </c>
      <c r="L173">
        <v>17</v>
      </c>
      <c r="M173" t="s">
        <v>19</v>
      </c>
      <c r="N173">
        <f t="shared" si="4"/>
        <v>19.899999999999999</v>
      </c>
      <c r="O173" t="b">
        <f t="shared" si="5"/>
        <v>1</v>
      </c>
    </row>
    <row r="174" spans="1:15">
      <c r="A174" t="s">
        <v>311</v>
      </c>
      <c r="B174" s="2">
        <v>46193</v>
      </c>
      <c r="C174" t="s">
        <v>312</v>
      </c>
      <c r="D174" t="s">
        <v>15</v>
      </c>
      <c r="E174" t="s">
        <v>93</v>
      </c>
      <c r="F174" t="s">
        <v>31</v>
      </c>
      <c r="G174">
        <v>2</v>
      </c>
      <c r="H174" s="3">
        <v>6.25</v>
      </c>
      <c r="I174" s="3">
        <v>12.5</v>
      </c>
      <c r="J174" t="s">
        <v>18</v>
      </c>
      <c r="K174">
        <v>23</v>
      </c>
      <c r="L174">
        <v>20</v>
      </c>
      <c r="M174" t="s">
        <v>19</v>
      </c>
      <c r="N174">
        <f t="shared" si="4"/>
        <v>12.5</v>
      </c>
      <c r="O174" t="b">
        <f t="shared" si="5"/>
        <v>1</v>
      </c>
    </row>
    <row r="175" spans="1:15">
      <c r="A175" t="s">
        <v>313</v>
      </c>
      <c r="B175" s="2">
        <v>46116</v>
      </c>
      <c r="C175" t="s">
        <v>314</v>
      </c>
      <c r="D175" t="s">
        <v>35</v>
      </c>
      <c r="E175" t="s">
        <v>96</v>
      </c>
      <c r="F175" t="s">
        <v>47</v>
      </c>
      <c r="G175">
        <v>1</v>
      </c>
      <c r="H175" s="3">
        <v>5.75</v>
      </c>
      <c r="I175" s="3">
        <v>5.75</v>
      </c>
      <c r="J175" t="s">
        <v>32</v>
      </c>
      <c r="K175">
        <v>2</v>
      </c>
      <c r="L175">
        <v>12</v>
      </c>
      <c r="M175" t="s">
        <v>19</v>
      </c>
      <c r="N175">
        <f t="shared" si="4"/>
        <v>5.75</v>
      </c>
      <c r="O175" t="b">
        <f t="shared" si="5"/>
        <v>1</v>
      </c>
    </row>
    <row r="176" spans="1:15">
      <c r="A176" t="s">
        <v>315</v>
      </c>
      <c r="B176" s="2">
        <v>46044</v>
      </c>
      <c r="C176" t="s">
        <v>312</v>
      </c>
      <c r="D176" t="s">
        <v>15</v>
      </c>
      <c r="E176" t="s">
        <v>46</v>
      </c>
      <c r="F176" t="s">
        <v>47</v>
      </c>
      <c r="G176">
        <v>4</v>
      </c>
      <c r="H176" s="3">
        <v>6.95</v>
      </c>
      <c r="I176" s="3">
        <v>27.8</v>
      </c>
      <c r="J176" t="s">
        <v>27</v>
      </c>
      <c r="K176">
        <v>21</v>
      </c>
      <c r="L176">
        <v>14</v>
      </c>
      <c r="M176" t="s">
        <v>19</v>
      </c>
      <c r="N176">
        <f t="shared" si="4"/>
        <v>27.8</v>
      </c>
      <c r="O176" t="b">
        <f t="shared" si="5"/>
        <v>1</v>
      </c>
    </row>
    <row r="177" spans="1:15">
      <c r="A177" t="s">
        <v>316</v>
      </c>
      <c r="B177" s="2">
        <v>46205</v>
      </c>
      <c r="C177" t="s">
        <v>199</v>
      </c>
      <c r="D177" t="s">
        <v>35</v>
      </c>
      <c r="E177" t="s">
        <v>93</v>
      </c>
      <c r="F177" t="s">
        <v>31</v>
      </c>
      <c r="G177">
        <v>1</v>
      </c>
      <c r="H177" s="3">
        <v>6.25</v>
      </c>
      <c r="I177" s="3">
        <v>6.25</v>
      </c>
      <c r="J177" t="s">
        <v>53</v>
      </c>
      <c r="K177">
        <v>14</v>
      </c>
      <c r="L177">
        <v>20</v>
      </c>
      <c r="M177" t="s">
        <v>19</v>
      </c>
      <c r="N177">
        <f t="shared" si="4"/>
        <v>6.25</v>
      </c>
      <c r="O177" t="b">
        <f t="shared" si="5"/>
        <v>1</v>
      </c>
    </row>
    <row r="178" spans="1:15">
      <c r="A178" t="s">
        <v>317</v>
      </c>
      <c r="B178" s="2">
        <v>46248</v>
      </c>
      <c r="C178" t="s">
        <v>180</v>
      </c>
      <c r="D178" t="s">
        <v>35</v>
      </c>
      <c r="E178" t="s">
        <v>106</v>
      </c>
      <c r="F178" t="s">
        <v>17</v>
      </c>
      <c r="G178">
        <v>1</v>
      </c>
      <c r="H178" s="3">
        <v>15.95</v>
      </c>
      <c r="I178" s="3">
        <v>15.95</v>
      </c>
      <c r="J178" t="s">
        <v>32</v>
      </c>
      <c r="K178">
        <v>9</v>
      </c>
      <c r="L178">
        <v>12</v>
      </c>
      <c r="M178" t="s">
        <v>19</v>
      </c>
      <c r="N178">
        <f t="shared" si="4"/>
        <v>15.95</v>
      </c>
      <c r="O178" t="b">
        <f t="shared" si="5"/>
        <v>1</v>
      </c>
    </row>
    <row r="179" spans="1:15">
      <c r="A179" t="s">
        <v>318</v>
      </c>
      <c r="B179" s="2">
        <v>46240</v>
      </c>
      <c r="C179" t="s">
        <v>239</v>
      </c>
      <c r="D179" t="s">
        <v>15</v>
      </c>
      <c r="E179" t="s">
        <v>36</v>
      </c>
      <c r="F179" t="s">
        <v>23</v>
      </c>
      <c r="G179">
        <v>1</v>
      </c>
      <c r="H179" s="3">
        <v>2.8</v>
      </c>
      <c r="I179" s="3">
        <v>2.8</v>
      </c>
      <c r="J179" t="s">
        <v>27</v>
      </c>
      <c r="K179">
        <v>3</v>
      </c>
      <c r="L179">
        <v>16</v>
      </c>
      <c r="M179" t="s">
        <v>19</v>
      </c>
      <c r="N179">
        <f t="shared" si="4"/>
        <v>2.8</v>
      </c>
      <c r="O179" t="b">
        <f t="shared" si="5"/>
        <v>1</v>
      </c>
    </row>
    <row r="180" spans="1:15">
      <c r="A180" t="s">
        <v>319</v>
      </c>
      <c r="B180" s="2">
        <v>46174</v>
      </c>
      <c r="C180" t="s">
        <v>320</v>
      </c>
      <c r="D180" t="s">
        <v>15</v>
      </c>
      <c r="E180" t="s">
        <v>78</v>
      </c>
      <c r="F180" t="s">
        <v>47</v>
      </c>
      <c r="G180">
        <v>1</v>
      </c>
      <c r="H180" s="3">
        <v>7.25</v>
      </c>
      <c r="I180" s="3">
        <v>7.25</v>
      </c>
      <c r="J180" t="s">
        <v>53</v>
      </c>
      <c r="K180">
        <v>28</v>
      </c>
      <c r="L180">
        <v>14</v>
      </c>
      <c r="M180" t="s">
        <v>19</v>
      </c>
      <c r="N180">
        <f t="shared" si="4"/>
        <v>7.25</v>
      </c>
      <c r="O180" t="b">
        <f t="shared" si="5"/>
        <v>1</v>
      </c>
    </row>
    <row r="181" spans="1:15">
      <c r="A181" t="s">
        <v>321</v>
      </c>
      <c r="B181" s="2">
        <v>46245</v>
      </c>
      <c r="C181" t="s">
        <v>322</v>
      </c>
      <c r="D181" t="s">
        <v>15</v>
      </c>
      <c r="E181" t="s">
        <v>46</v>
      </c>
      <c r="F181" t="s">
        <v>47</v>
      </c>
      <c r="G181">
        <v>1</v>
      </c>
      <c r="H181" s="3">
        <v>6.95</v>
      </c>
      <c r="I181" s="3">
        <v>0</v>
      </c>
      <c r="J181" t="s">
        <v>27</v>
      </c>
      <c r="K181">
        <v>22</v>
      </c>
      <c r="L181">
        <v>17</v>
      </c>
      <c r="M181" t="s">
        <v>152</v>
      </c>
      <c r="N181">
        <f t="shared" si="4"/>
        <v>6.95</v>
      </c>
      <c r="O181" t="b">
        <f t="shared" si="5"/>
        <v>1</v>
      </c>
    </row>
    <row r="182" spans="1:15">
      <c r="A182" t="s">
        <v>323</v>
      </c>
      <c r="B182" s="2">
        <v>46038</v>
      </c>
      <c r="C182" t="s">
        <v>124</v>
      </c>
      <c r="D182" t="s">
        <v>15</v>
      </c>
      <c r="E182" t="s">
        <v>96</v>
      </c>
      <c r="F182" t="s">
        <v>47</v>
      </c>
      <c r="G182">
        <v>1</v>
      </c>
      <c r="H182" s="3">
        <v>5.75</v>
      </c>
      <c r="I182" s="3">
        <v>5.75</v>
      </c>
      <c r="J182" t="s">
        <v>18</v>
      </c>
      <c r="K182">
        <v>12</v>
      </c>
      <c r="L182">
        <v>16</v>
      </c>
      <c r="M182" t="s">
        <v>19</v>
      </c>
      <c r="N182">
        <f t="shared" si="4"/>
        <v>5.75</v>
      </c>
      <c r="O182" t="b">
        <f t="shared" si="5"/>
        <v>1</v>
      </c>
    </row>
    <row r="183" spans="1:15">
      <c r="A183" t="s">
        <v>324</v>
      </c>
      <c r="B183" s="2">
        <v>46039</v>
      </c>
      <c r="C183" t="s">
        <v>49</v>
      </c>
      <c r="D183" t="s">
        <v>35</v>
      </c>
      <c r="E183" t="s">
        <v>30</v>
      </c>
      <c r="F183" t="s">
        <v>31</v>
      </c>
      <c r="G183">
        <v>1</v>
      </c>
      <c r="H183" s="3">
        <v>8.5</v>
      </c>
      <c r="I183" s="3">
        <v>-8.5</v>
      </c>
      <c r="J183" t="s">
        <v>18</v>
      </c>
      <c r="K183">
        <v>3</v>
      </c>
      <c r="L183">
        <v>28</v>
      </c>
      <c r="M183" t="s">
        <v>62</v>
      </c>
      <c r="N183">
        <f t="shared" si="4"/>
        <v>8.5</v>
      </c>
      <c r="O183" t="b">
        <f t="shared" si="5"/>
        <v>1</v>
      </c>
    </row>
    <row r="184" spans="1:15">
      <c r="A184" t="s">
        <v>325</v>
      </c>
      <c r="B184" s="2">
        <v>46294</v>
      </c>
      <c r="C184" t="s">
        <v>326</v>
      </c>
      <c r="D184" t="s">
        <v>15</v>
      </c>
      <c r="E184" t="s">
        <v>41</v>
      </c>
      <c r="F184" t="s">
        <v>31</v>
      </c>
      <c r="G184">
        <v>1</v>
      </c>
      <c r="H184" s="3">
        <v>5.5</v>
      </c>
      <c r="I184" s="3">
        <v>5.5</v>
      </c>
      <c r="J184" t="s">
        <v>18</v>
      </c>
      <c r="K184">
        <v>17</v>
      </c>
      <c r="L184">
        <v>19</v>
      </c>
      <c r="M184" t="s">
        <v>19</v>
      </c>
      <c r="N184">
        <f t="shared" si="4"/>
        <v>5.5</v>
      </c>
      <c r="O184" t="b">
        <f t="shared" si="5"/>
        <v>1</v>
      </c>
    </row>
    <row r="185" spans="1:15">
      <c r="A185" t="s">
        <v>327</v>
      </c>
      <c r="B185" s="2">
        <v>46083</v>
      </c>
      <c r="C185" t="s">
        <v>328</v>
      </c>
      <c r="D185" t="s">
        <v>15</v>
      </c>
      <c r="E185" t="s">
        <v>96</v>
      </c>
      <c r="F185" t="s">
        <v>47</v>
      </c>
      <c r="G185">
        <v>1</v>
      </c>
      <c r="H185" s="3">
        <v>5.75</v>
      </c>
      <c r="I185" s="3">
        <v>5.75</v>
      </c>
      <c r="J185" t="s">
        <v>18</v>
      </c>
      <c r="K185">
        <v>10</v>
      </c>
      <c r="L185">
        <v>16</v>
      </c>
      <c r="M185" t="s">
        <v>19</v>
      </c>
      <c r="N185">
        <f t="shared" si="4"/>
        <v>5.75</v>
      </c>
      <c r="O185" t="b">
        <f t="shared" si="5"/>
        <v>1</v>
      </c>
    </row>
    <row r="186" spans="1:15">
      <c r="A186" t="s">
        <v>329</v>
      </c>
      <c r="B186" s="2">
        <v>46274</v>
      </c>
      <c r="C186" t="s">
        <v>160</v>
      </c>
      <c r="D186" t="s">
        <v>15</v>
      </c>
      <c r="E186" t="s">
        <v>96</v>
      </c>
      <c r="F186" t="s">
        <v>47</v>
      </c>
      <c r="G186">
        <v>1</v>
      </c>
      <c r="H186" s="3">
        <v>5.75</v>
      </c>
      <c r="I186" s="3">
        <v>5.75</v>
      </c>
      <c r="J186" t="s">
        <v>53</v>
      </c>
      <c r="K186">
        <v>22</v>
      </c>
      <c r="L186">
        <v>13</v>
      </c>
      <c r="M186" t="s">
        <v>19</v>
      </c>
      <c r="N186">
        <f t="shared" si="4"/>
        <v>5.75</v>
      </c>
      <c r="O186" t="b">
        <f t="shared" si="5"/>
        <v>1</v>
      </c>
    </row>
    <row r="187" spans="1:15">
      <c r="A187" t="s">
        <v>330</v>
      </c>
      <c r="B187" s="2">
        <v>46186</v>
      </c>
      <c r="C187" t="s">
        <v>279</v>
      </c>
      <c r="D187" t="s">
        <v>35</v>
      </c>
      <c r="E187" t="s">
        <v>36</v>
      </c>
      <c r="F187" t="s">
        <v>23</v>
      </c>
      <c r="G187">
        <v>1</v>
      </c>
      <c r="H187" s="3">
        <v>2.8</v>
      </c>
      <c r="I187" s="3">
        <v>2.8</v>
      </c>
      <c r="J187" t="s">
        <v>27</v>
      </c>
      <c r="K187">
        <v>28</v>
      </c>
      <c r="L187">
        <v>13</v>
      </c>
      <c r="M187" t="s">
        <v>19</v>
      </c>
      <c r="N187">
        <f t="shared" si="4"/>
        <v>2.8</v>
      </c>
      <c r="O187" t="b">
        <f t="shared" si="5"/>
        <v>1</v>
      </c>
    </row>
    <row r="188" spans="1:15">
      <c r="A188" t="s">
        <v>331</v>
      </c>
      <c r="B188" s="2">
        <v>46112</v>
      </c>
      <c r="C188" t="s">
        <v>156</v>
      </c>
      <c r="D188" t="s">
        <v>35</v>
      </c>
      <c r="E188" t="s">
        <v>59</v>
      </c>
      <c r="F188" t="s">
        <v>17</v>
      </c>
      <c r="G188">
        <v>4</v>
      </c>
      <c r="H188" s="3">
        <v>11.95</v>
      </c>
      <c r="I188" s="3">
        <v>47.8</v>
      </c>
      <c r="J188" t="s">
        <v>18</v>
      </c>
      <c r="K188">
        <v>12</v>
      </c>
      <c r="L188">
        <v>20</v>
      </c>
      <c r="M188" t="s">
        <v>19</v>
      </c>
      <c r="N188">
        <f t="shared" si="4"/>
        <v>47.8</v>
      </c>
      <c r="O188" t="b">
        <f t="shared" si="5"/>
        <v>1</v>
      </c>
    </row>
    <row r="189" spans="1:15">
      <c r="A189" t="s">
        <v>332</v>
      </c>
      <c r="B189" s="2">
        <v>46211</v>
      </c>
      <c r="C189" t="s">
        <v>89</v>
      </c>
      <c r="D189" t="s">
        <v>35</v>
      </c>
      <c r="E189" t="s">
        <v>56</v>
      </c>
      <c r="F189" t="s">
        <v>23</v>
      </c>
      <c r="G189">
        <v>3</v>
      </c>
      <c r="H189" s="3">
        <v>3.75</v>
      </c>
      <c r="I189" s="3">
        <v>11.25</v>
      </c>
      <c r="J189" t="s">
        <v>18</v>
      </c>
      <c r="K189">
        <v>10</v>
      </c>
      <c r="L189">
        <v>19</v>
      </c>
      <c r="M189" t="s">
        <v>19</v>
      </c>
      <c r="N189">
        <f t="shared" si="4"/>
        <v>11.25</v>
      </c>
      <c r="O189" t="b">
        <f t="shared" si="5"/>
        <v>1</v>
      </c>
    </row>
    <row r="190" spans="1:15">
      <c r="A190" t="s">
        <v>333</v>
      </c>
      <c r="B190" s="2">
        <v>46268</v>
      </c>
      <c r="C190" t="s">
        <v>52</v>
      </c>
      <c r="D190" t="s">
        <v>35</v>
      </c>
      <c r="E190" t="s">
        <v>39</v>
      </c>
      <c r="F190" t="s">
        <v>17</v>
      </c>
      <c r="G190">
        <v>1</v>
      </c>
      <c r="H190" s="3">
        <v>12.95</v>
      </c>
      <c r="I190" s="3">
        <v>12.95</v>
      </c>
      <c r="J190" t="s">
        <v>18</v>
      </c>
      <c r="K190">
        <v>22</v>
      </c>
      <c r="L190">
        <v>15</v>
      </c>
      <c r="M190" t="s">
        <v>19</v>
      </c>
      <c r="N190">
        <f t="shared" si="4"/>
        <v>12.95</v>
      </c>
      <c r="O190" t="b">
        <f t="shared" si="5"/>
        <v>1</v>
      </c>
    </row>
    <row r="191" spans="1:15">
      <c r="A191" t="s">
        <v>334</v>
      </c>
      <c r="B191" s="2">
        <v>46088</v>
      </c>
      <c r="C191" t="s">
        <v>130</v>
      </c>
      <c r="D191" t="s">
        <v>35</v>
      </c>
      <c r="E191" t="s">
        <v>121</v>
      </c>
      <c r="F191" t="s">
        <v>23</v>
      </c>
      <c r="G191">
        <v>1</v>
      </c>
      <c r="H191" s="3">
        <v>6.5</v>
      </c>
      <c r="I191" s="3">
        <v>6.5</v>
      </c>
      <c r="J191" t="s">
        <v>18</v>
      </c>
      <c r="K191">
        <v>14</v>
      </c>
      <c r="L191">
        <v>7</v>
      </c>
      <c r="M191" t="s">
        <v>19</v>
      </c>
      <c r="N191">
        <f t="shared" si="4"/>
        <v>6.5</v>
      </c>
      <c r="O191" t="b">
        <f t="shared" si="5"/>
        <v>1</v>
      </c>
    </row>
    <row r="192" spans="1:15">
      <c r="A192" t="s">
        <v>335</v>
      </c>
      <c r="B192" s="2">
        <v>46051</v>
      </c>
      <c r="C192" t="s">
        <v>89</v>
      </c>
      <c r="D192" t="s">
        <v>35</v>
      </c>
      <c r="E192" t="s">
        <v>126</v>
      </c>
      <c r="F192" t="s">
        <v>31</v>
      </c>
      <c r="G192">
        <v>1</v>
      </c>
      <c r="H192" s="3">
        <v>7.95</v>
      </c>
      <c r="I192" s="3">
        <v>7.95</v>
      </c>
      <c r="J192" t="s">
        <v>53</v>
      </c>
      <c r="K192">
        <v>17</v>
      </c>
      <c r="L192">
        <v>23</v>
      </c>
      <c r="M192" t="s">
        <v>19</v>
      </c>
      <c r="N192">
        <f t="shared" si="4"/>
        <v>7.95</v>
      </c>
      <c r="O192" t="b">
        <f t="shared" si="5"/>
        <v>1</v>
      </c>
    </row>
    <row r="193" spans="1:15">
      <c r="A193" t="s">
        <v>336</v>
      </c>
      <c r="B193" s="2">
        <v>46063</v>
      </c>
      <c r="C193" t="s">
        <v>25</v>
      </c>
      <c r="D193" t="s">
        <v>15</v>
      </c>
      <c r="E193" t="s">
        <v>50</v>
      </c>
      <c r="F193" t="s">
        <v>17</v>
      </c>
      <c r="G193">
        <v>2</v>
      </c>
      <c r="H193" s="3">
        <v>14.5</v>
      </c>
      <c r="I193" s="3">
        <v>29</v>
      </c>
      <c r="J193" t="s">
        <v>27</v>
      </c>
      <c r="K193">
        <v>18</v>
      </c>
      <c r="L193">
        <v>14</v>
      </c>
      <c r="M193" t="s">
        <v>19</v>
      </c>
      <c r="N193">
        <f t="shared" si="4"/>
        <v>29</v>
      </c>
      <c r="O193" t="b">
        <f t="shared" si="5"/>
        <v>1</v>
      </c>
    </row>
    <row r="194" spans="1:15">
      <c r="A194" t="s">
        <v>337</v>
      </c>
      <c r="B194" s="2">
        <v>46109</v>
      </c>
      <c r="C194" t="s">
        <v>89</v>
      </c>
      <c r="D194" t="s">
        <v>35</v>
      </c>
      <c r="E194" t="s">
        <v>106</v>
      </c>
      <c r="F194" t="s">
        <v>17</v>
      </c>
      <c r="G194">
        <v>2</v>
      </c>
      <c r="H194" s="3">
        <v>15.95</v>
      </c>
      <c r="I194" s="3">
        <v>31.9</v>
      </c>
      <c r="J194" t="s">
        <v>18</v>
      </c>
      <c r="K194">
        <v>30</v>
      </c>
      <c r="L194">
        <v>24</v>
      </c>
      <c r="M194" t="s">
        <v>19</v>
      </c>
      <c r="N194">
        <f t="shared" ref="N194:N257" si="6">G194*H194</f>
        <v>31.9</v>
      </c>
      <c r="O194" t="b">
        <f t="shared" ref="O194:O257" si="7">OR(AND(M194="Completed",I194=N194),AND(M194="Refunded",ABS(I194)=N194),AND(M194="Cancelled",I194=0))</f>
        <v>1</v>
      </c>
    </row>
    <row r="195" spans="1:15">
      <c r="A195" t="s">
        <v>338</v>
      </c>
      <c r="B195" s="2">
        <v>46037</v>
      </c>
      <c r="C195" t="s">
        <v>25</v>
      </c>
      <c r="D195" t="s">
        <v>15</v>
      </c>
      <c r="E195" t="s">
        <v>70</v>
      </c>
      <c r="F195" t="s">
        <v>17</v>
      </c>
      <c r="G195">
        <v>2</v>
      </c>
      <c r="H195" s="3">
        <v>12.5</v>
      </c>
      <c r="I195" s="3">
        <v>25</v>
      </c>
      <c r="J195" t="s">
        <v>18</v>
      </c>
      <c r="K195">
        <v>20</v>
      </c>
      <c r="L195">
        <v>12</v>
      </c>
      <c r="M195" t="s">
        <v>19</v>
      </c>
      <c r="N195">
        <f t="shared" si="6"/>
        <v>25</v>
      </c>
      <c r="O195" t="b">
        <f t="shared" si="7"/>
        <v>1</v>
      </c>
    </row>
    <row r="196" spans="1:15">
      <c r="A196" t="s">
        <v>339</v>
      </c>
      <c r="B196" s="2">
        <v>46277</v>
      </c>
      <c r="C196" t="s">
        <v>189</v>
      </c>
      <c r="D196" t="s">
        <v>35</v>
      </c>
      <c r="E196" t="s">
        <v>126</v>
      </c>
      <c r="F196" t="s">
        <v>31</v>
      </c>
      <c r="G196">
        <v>1</v>
      </c>
      <c r="H196" s="3">
        <v>7.95</v>
      </c>
      <c r="I196" s="3">
        <v>7.95</v>
      </c>
      <c r="J196" t="s">
        <v>27</v>
      </c>
      <c r="K196">
        <v>23</v>
      </c>
      <c r="L196">
        <v>14</v>
      </c>
      <c r="M196" t="s">
        <v>19</v>
      </c>
      <c r="N196">
        <f t="shared" si="6"/>
        <v>7.95</v>
      </c>
      <c r="O196" t="b">
        <f t="shared" si="7"/>
        <v>1</v>
      </c>
    </row>
    <row r="197" spans="1:15">
      <c r="A197" t="s">
        <v>340</v>
      </c>
      <c r="B197" s="2">
        <v>46248</v>
      </c>
      <c r="C197" t="s">
        <v>205</v>
      </c>
      <c r="D197" t="s">
        <v>35</v>
      </c>
      <c r="E197" t="s">
        <v>93</v>
      </c>
      <c r="F197" t="s">
        <v>31</v>
      </c>
      <c r="G197">
        <v>2</v>
      </c>
      <c r="H197" s="3">
        <v>6.25</v>
      </c>
      <c r="I197" s="3">
        <v>12.5</v>
      </c>
      <c r="J197" t="s">
        <v>18</v>
      </c>
      <c r="K197">
        <v>28</v>
      </c>
      <c r="L197">
        <v>23</v>
      </c>
      <c r="M197" t="s">
        <v>19</v>
      </c>
      <c r="N197">
        <f t="shared" si="6"/>
        <v>12.5</v>
      </c>
      <c r="O197" t="b">
        <f t="shared" si="7"/>
        <v>1</v>
      </c>
    </row>
    <row r="198" spans="1:15">
      <c r="A198" t="s">
        <v>341</v>
      </c>
      <c r="B198" s="2">
        <v>46199</v>
      </c>
      <c r="C198" t="s">
        <v>245</v>
      </c>
      <c r="D198" t="s">
        <v>35</v>
      </c>
      <c r="E198" t="s">
        <v>22</v>
      </c>
      <c r="F198" t="s">
        <v>23</v>
      </c>
      <c r="G198">
        <v>1</v>
      </c>
      <c r="H198" s="3">
        <v>3.1</v>
      </c>
      <c r="I198" s="3">
        <v>3.1</v>
      </c>
      <c r="J198" t="s">
        <v>27</v>
      </c>
      <c r="K198">
        <v>15</v>
      </c>
      <c r="L198">
        <v>13</v>
      </c>
      <c r="M198" t="s">
        <v>19</v>
      </c>
      <c r="N198">
        <f t="shared" si="6"/>
        <v>3.1</v>
      </c>
      <c r="O198" t="b">
        <f t="shared" si="7"/>
        <v>1</v>
      </c>
    </row>
    <row r="199" spans="1:15">
      <c r="A199" t="s">
        <v>342</v>
      </c>
      <c r="B199" s="2">
        <v>46072</v>
      </c>
      <c r="C199" t="s">
        <v>307</v>
      </c>
      <c r="D199" t="s">
        <v>15</v>
      </c>
      <c r="E199" t="s">
        <v>78</v>
      </c>
      <c r="F199" t="s">
        <v>47</v>
      </c>
      <c r="G199">
        <v>1</v>
      </c>
      <c r="H199" s="3">
        <v>7.25</v>
      </c>
      <c r="I199" s="3">
        <v>7.25</v>
      </c>
      <c r="J199" t="s">
        <v>27</v>
      </c>
      <c r="K199">
        <v>27</v>
      </c>
      <c r="L199">
        <v>19</v>
      </c>
      <c r="M199" t="s">
        <v>19</v>
      </c>
      <c r="N199">
        <f t="shared" si="6"/>
        <v>7.25</v>
      </c>
      <c r="O199" t="b">
        <f t="shared" si="7"/>
        <v>1</v>
      </c>
    </row>
    <row r="200" spans="1:15">
      <c r="A200" t="s">
        <v>343</v>
      </c>
      <c r="B200" s="2">
        <v>46183</v>
      </c>
      <c r="C200" t="s">
        <v>236</v>
      </c>
      <c r="D200" t="s">
        <v>15</v>
      </c>
      <c r="E200" t="s">
        <v>22</v>
      </c>
      <c r="F200" t="s">
        <v>23</v>
      </c>
      <c r="G200">
        <v>1</v>
      </c>
      <c r="H200" s="3">
        <v>3.1</v>
      </c>
      <c r="I200" s="3">
        <v>3.1</v>
      </c>
      <c r="J200" t="s">
        <v>18</v>
      </c>
      <c r="K200">
        <v>13</v>
      </c>
      <c r="L200">
        <v>6</v>
      </c>
      <c r="M200" t="s">
        <v>19</v>
      </c>
      <c r="N200">
        <f t="shared" si="6"/>
        <v>3.1</v>
      </c>
      <c r="O200" t="b">
        <f t="shared" si="7"/>
        <v>1</v>
      </c>
    </row>
    <row r="201" spans="1:15">
      <c r="A201" t="s">
        <v>344</v>
      </c>
      <c r="B201" s="2">
        <v>46146</v>
      </c>
      <c r="C201" t="s">
        <v>248</v>
      </c>
      <c r="D201" t="s">
        <v>15</v>
      </c>
      <c r="E201" t="s">
        <v>83</v>
      </c>
      <c r="F201" t="s">
        <v>17</v>
      </c>
      <c r="G201">
        <v>1</v>
      </c>
      <c r="H201" s="3">
        <v>13.5</v>
      </c>
      <c r="I201" s="3">
        <v>13.5</v>
      </c>
      <c r="J201" t="s">
        <v>32</v>
      </c>
      <c r="K201">
        <v>29</v>
      </c>
      <c r="L201">
        <v>16</v>
      </c>
      <c r="M201" t="s">
        <v>19</v>
      </c>
      <c r="N201">
        <f t="shared" si="6"/>
        <v>13.5</v>
      </c>
      <c r="O201" t="b">
        <f t="shared" si="7"/>
        <v>1</v>
      </c>
    </row>
    <row r="202" spans="1:15">
      <c r="A202" t="s">
        <v>345</v>
      </c>
      <c r="B202" s="2">
        <v>46263</v>
      </c>
      <c r="C202" t="s">
        <v>322</v>
      </c>
      <c r="D202" t="s">
        <v>15</v>
      </c>
      <c r="E202" t="s">
        <v>78</v>
      </c>
      <c r="F202" t="s">
        <v>47</v>
      </c>
      <c r="G202">
        <v>1</v>
      </c>
      <c r="H202" s="3">
        <v>7.25</v>
      </c>
      <c r="I202" s="3">
        <v>7.25</v>
      </c>
      <c r="J202" t="s">
        <v>27</v>
      </c>
      <c r="K202">
        <v>12</v>
      </c>
      <c r="L202">
        <v>14</v>
      </c>
      <c r="M202" t="s">
        <v>19</v>
      </c>
      <c r="N202">
        <f t="shared" si="6"/>
        <v>7.25</v>
      </c>
      <c r="O202" t="b">
        <f t="shared" si="7"/>
        <v>1</v>
      </c>
    </row>
    <row r="203" spans="1:15">
      <c r="A203" t="s">
        <v>346</v>
      </c>
      <c r="B203" s="2">
        <v>46049</v>
      </c>
      <c r="C203" t="s">
        <v>245</v>
      </c>
      <c r="D203" t="s">
        <v>35</v>
      </c>
      <c r="E203" t="s">
        <v>36</v>
      </c>
      <c r="F203" t="s">
        <v>23</v>
      </c>
      <c r="G203">
        <v>1</v>
      </c>
      <c r="H203" s="3">
        <v>2.8</v>
      </c>
      <c r="I203" s="3">
        <v>2.8</v>
      </c>
      <c r="J203" t="s">
        <v>18</v>
      </c>
      <c r="K203">
        <v>17</v>
      </c>
      <c r="L203">
        <v>2</v>
      </c>
      <c r="M203" t="s">
        <v>19</v>
      </c>
      <c r="N203">
        <f t="shared" si="6"/>
        <v>2.8</v>
      </c>
      <c r="O203" t="b">
        <f t="shared" si="7"/>
        <v>1</v>
      </c>
    </row>
    <row r="204" spans="1:15">
      <c r="A204" t="s">
        <v>347</v>
      </c>
      <c r="B204" s="2">
        <v>46166</v>
      </c>
      <c r="C204" t="s">
        <v>130</v>
      </c>
      <c r="D204" t="s">
        <v>35</v>
      </c>
      <c r="E204" t="s">
        <v>56</v>
      </c>
      <c r="F204" t="s">
        <v>23</v>
      </c>
      <c r="G204">
        <v>1</v>
      </c>
      <c r="H204" s="3">
        <v>3.75</v>
      </c>
      <c r="I204" s="3">
        <v>3.75</v>
      </c>
      <c r="J204" t="s">
        <v>18</v>
      </c>
      <c r="K204">
        <v>11</v>
      </c>
      <c r="L204">
        <v>4</v>
      </c>
      <c r="M204" t="s">
        <v>19</v>
      </c>
      <c r="N204">
        <f t="shared" si="6"/>
        <v>3.75</v>
      </c>
      <c r="O204" t="b">
        <f t="shared" si="7"/>
        <v>1</v>
      </c>
    </row>
    <row r="205" spans="1:15">
      <c r="A205" t="s">
        <v>348</v>
      </c>
      <c r="B205" s="2">
        <v>46210</v>
      </c>
      <c r="C205" t="s">
        <v>210</v>
      </c>
      <c r="D205" t="s">
        <v>35</v>
      </c>
      <c r="E205" t="s">
        <v>22</v>
      </c>
      <c r="F205" t="s">
        <v>23</v>
      </c>
      <c r="G205">
        <v>1</v>
      </c>
      <c r="H205" s="3">
        <v>3.1</v>
      </c>
      <c r="I205" s="3">
        <v>3.1</v>
      </c>
      <c r="J205" t="s">
        <v>27</v>
      </c>
      <c r="K205">
        <v>2</v>
      </c>
      <c r="L205">
        <v>19</v>
      </c>
      <c r="M205" t="s">
        <v>19</v>
      </c>
      <c r="N205">
        <f t="shared" si="6"/>
        <v>3.1</v>
      </c>
      <c r="O205" t="b">
        <f t="shared" si="7"/>
        <v>1</v>
      </c>
    </row>
    <row r="206" spans="1:15">
      <c r="A206" t="s">
        <v>349</v>
      </c>
      <c r="B206" s="2">
        <v>46193</v>
      </c>
      <c r="C206" t="s">
        <v>139</v>
      </c>
      <c r="D206" t="s">
        <v>35</v>
      </c>
      <c r="E206" t="s">
        <v>50</v>
      </c>
      <c r="F206" t="s">
        <v>17</v>
      </c>
      <c r="G206">
        <v>2</v>
      </c>
      <c r="H206" s="3">
        <v>14.5</v>
      </c>
      <c r="I206" s="3">
        <v>29</v>
      </c>
      <c r="J206" t="s">
        <v>27</v>
      </c>
      <c r="K206">
        <v>11</v>
      </c>
      <c r="L206">
        <v>28</v>
      </c>
      <c r="M206" t="s">
        <v>19</v>
      </c>
      <c r="N206">
        <f t="shared" si="6"/>
        <v>29</v>
      </c>
      <c r="O206" t="b">
        <f t="shared" si="7"/>
        <v>1</v>
      </c>
    </row>
    <row r="207" spans="1:15">
      <c r="A207" t="s">
        <v>350</v>
      </c>
      <c r="B207" s="2">
        <v>46176</v>
      </c>
      <c r="C207" t="s">
        <v>254</v>
      </c>
      <c r="D207" t="s">
        <v>35</v>
      </c>
      <c r="E207" t="s">
        <v>36</v>
      </c>
      <c r="F207" t="s">
        <v>23</v>
      </c>
      <c r="G207">
        <v>1</v>
      </c>
      <c r="H207" s="3">
        <v>2.8</v>
      </c>
      <c r="I207" s="3">
        <v>2.8</v>
      </c>
      <c r="J207" t="s">
        <v>18</v>
      </c>
      <c r="K207">
        <v>10</v>
      </c>
      <c r="L207">
        <v>23</v>
      </c>
      <c r="M207" t="s">
        <v>19</v>
      </c>
      <c r="N207">
        <f t="shared" si="6"/>
        <v>2.8</v>
      </c>
      <c r="O207" t="b">
        <f t="shared" si="7"/>
        <v>1</v>
      </c>
    </row>
    <row r="208" spans="1:15">
      <c r="A208" t="s">
        <v>351</v>
      </c>
      <c r="B208" s="2">
        <v>46031</v>
      </c>
      <c r="C208" t="s">
        <v>352</v>
      </c>
      <c r="D208" t="s">
        <v>15</v>
      </c>
      <c r="E208" t="s">
        <v>121</v>
      </c>
      <c r="F208" t="s">
        <v>23</v>
      </c>
      <c r="G208">
        <v>1</v>
      </c>
      <c r="H208" s="3">
        <v>6.5</v>
      </c>
      <c r="I208" s="3">
        <v>6.5</v>
      </c>
      <c r="J208" t="s">
        <v>18</v>
      </c>
      <c r="K208">
        <v>20</v>
      </c>
      <c r="L208">
        <v>14</v>
      </c>
      <c r="M208" t="s">
        <v>19</v>
      </c>
      <c r="N208">
        <f t="shared" si="6"/>
        <v>6.5</v>
      </c>
      <c r="O208" t="b">
        <f t="shared" si="7"/>
        <v>1</v>
      </c>
    </row>
    <row r="209" spans="1:15">
      <c r="A209" t="s">
        <v>353</v>
      </c>
      <c r="B209" s="2">
        <v>46139</v>
      </c>
      <c r="C209" t="s">
        <v>139</v>
      </c>
      <c r="D209" t="s">
        <v>35</v>
      </c>
      <c r="E209" t="s">
        <v>106</v>
      </c>
      <c r="F209" t="s">
        <v>17</v>
      </c>
      <c r="G209">
        <v>1</v>
      </c>
      <c r="H209" s="3">
        <v>15.95</v>
      </c>
      <c r="I209" s="3">
        <v>15.95</v>
      </c>
      <c r="J209" t="s">
        <v>32</v>
      </c>
      <c r="K209">
        <v>20</v>
      </c>
      <c r="L209">
        <v>13</v>
      </c>
      <c r="M209" t="s">
        <v>19</v>
      </c>
      <c r="N209">
        <f t="shared" si="6"/>
        <v>15.95</v>
      </c>
      <c r="O209" t="b">
        <f t="shared" si="7"/>
        <v>1</v>
      </c>
    </row>
    <row r="210" spans="1:15">
      <c r="A210" t="s">
        <v>354</v>
      </c>
      <c r="B210" s="2">
        <v>46217</v>
      </c>
      <c r="C210" t="s">
        <v>355</v>
      </c>
      <c r="D210" t="s">
        <v>15</v>
      </c>
      <c r="E210" t="s">
        <v>121</v>
      </c>
      <c r="F210" t="s">
        <v>23</v>
      </c>
      <c r="G210">
        <v>3</v>
      </c>
      <c r="H210" s="3">
        <v>6.5</v>
      </c>
      <c r="I210" s="3">
        <v>19.5</v>
      </c>
      <c r="J210" t="s">
        <v>27</v>
      </c>
      <c r="K210">
        <v>14</v>
      </c>
      <c r="L210">
        <v>11</v>
      </c>
      <c r="M210" t="s">
        <v>19</v>
      </c>
      <c r="N210">
        <f t="shared" si="6"/>
        <v>19.5</v>
      </c>
      <c r="O210" t="b">
        <f t="shared" si="7"/>
        <v>1</v>
      </c>
    </row>
    <row r="211" spans="1:15">
      <c r="A211" t="s">
        <v>356</v>
      </c>
      <c r="B211" s="2">
        <v>46127</v>
      </c>
      <c r="C211" t="s">
        <v>139</v>
      </c>
      <c r="D211" t="s">
        <v>35</v>
      </c>
      <c r="E211" t="s">
        <v>83</v>
      </c>
      <c r="F211" t="s">
        <v>17</v>
      </c>
      <c r="G211">
        <v>2</v>
      </c>
      <c r="H211" s="3">
        <v>13.5</v>
      </c>
      <c r="I211" s="3">
        <v>27</v>
      </c>
      <c r="J211" t="s">
        <v>18</v>
      </c>
      <c r="K211">
        <v>7</v>
      </c>
      <c r="L211">
        <v>26</v>
      </c>
      <c r="M211" t="s">
        <v>19</v>
      </c>
      <c r="N211">
        <f t="shared" si="6"/>
        <v>27</v>
      </c>
      <c r="O211" t="b">
        <f t="shared" si="7"/>
        <v>1</v>
      </c>
    </row>
    <row r="212" spans="1:15">
      <c r="A212" t="s">
        <v>357</v>
      </c>
      <c r="B212" s="2">
        <v>46267</v>
      </c>
      <c r="C212" t="s">
        <v>120</v>
      </c>
      <c r="D212" t="s">
        <v>35</v>
      </c>
      <c r="E212" t="s">
        <v>96</v>
      </c>
      <c r="F212" t="s">
        <v>47</v>
      </c>
      <c r="G212">
        <v>3</v>
      </c>
      <c r="H212" s="3">
        <v>5.75</v>
      </c>
      <c r="I212" s="3">
        <v>17.25</v>
      </c>
      <c r="J212" t="s">
        <v>18</v>
      </c>
      <c r="K212">
        <v>28</v>
      </c>
      <c r="L212">
        <v>11</v>
      </c>
      <c r="M212" t="s">
        <v>19</v>
      </c>
      <c r="N212">
        <f t="shared" si="6"/>
        <v>17.25</v>
      </c>
      <c r="O212" t="b">
        <f t="shared" si="7"/>
        <v>1</v>
      </c>
    </row>
    <row r="213" spans="1:15">
      <c r="A213" t="s">
        <v>358</v>
      </c>
      <c r="B213" s="2">
        <v>46158</v>
      </c>
      <c r="C213" t="s">
        <v>116</v>
      </c>
      <c r="D213" t="s">
        <v>35</v>
      </c>
      <c r="E213" t="s">
        <v>41</v>
      </c>
      <c r="F213" t="s">
        <v>31</v>
      </c>
      <c r="G213">
        <v>1</v>
      </c>
      <c r="H213" s="3">
        <v>5.5</v>
      </c>
      <c r="I213" s="3">
        <v>5.5</v>
      </c>
      <c r="J213" t="s">
        <v>32</v>
      </c>
      <c r="K213">
        <v>10</v>
      </c>
      <c r="L213">
        <v>17</v>
      </c>
      <c r="M213" t="s">
        <v>19</v>
      </c>
      <c r="N213">
        <f t="shared" si="6"/>
        <v>5.5</v>
      </c>
      <c r="O213" t="b">
        <f t="shared" si="7"/>
        <v>1</v>
      </c>
    </row>
    <row r="214" spans="1:15">
      <c r="A214" t="s">
        <v>359</v>
      </c>
      <c r="B214" s="2">
        <v>46129</v>
      </c>
      <c r="C214" t="s">
        <v>180</v>
      </c>
      <c r="D214" t="s">
        <v>35</v>
      </c>
      <c r="E214" t="s">
        <v>103</v>
      </c>
      <c r="F214" t="s">
        <v>23</v>
      </c>
      <c r="G214">
        <v>1</v>
      </c>
      <c r="H214" s="3">
        <v>3.25</v>
      </c>
      <c r="I214" s="3">
        <v>3.25</v>
      </c>
      <c r="J214" t="s">
        <v>18</v>
      </c>
      <c r="K214">
        <v>22</v>
      </c>
      <c r="L214">
        <v>12</v>
      </c>
      <c r="M214" t="s">
        <v>19</v>
      </c>
      <c r="N214">
        <f t="shared" si="6"/>
        <v>3.25</v>
      </c>
      <c r="O214" t="b">
        <f t="shared" si="7"/>
        <v>1</v>
      </c>
    </row>
    <row r="215" spans="1:15">
      <c r="A215" t="s">
        <v>360</v>
      </c>
      <c r="B215" s="2">
        <v>46225</v>
      </c>
      <c r="C215" t="s">
        <v>158</v>
      </c>
      <c r="D215" t="s">
        <v>35</v>
      </c>
      <c r="E215" t="s">
        <v>83</v>
      </c>
      <c r="F215" t="s">
        <v>17</v>
      </c>
      <c r="G215">
        <v>1</v>
      </c>
      <c r="H215" s="3">
        <v>13.5</v>
      </c>
      <c r="I215" s="3">
        <v>13.5</v>
      </c>
      <c r="J215" t="s">
        <v>27</v>
      </c>
      <c r="K215">
        <v>3</v>
      </c>
      <c r="L215">
        <v>23</v>
      </c>
      <c r="M215" t="s">
        <v>19</v>
      </c>
      <c r="N215">
        <f t="shared" si="6"/>
        <v>13.5</v>
      </c>
      <c r="O215" t="b">
        <f t="shared" si="7"/>
        <v>1</v>
      </c>
    </row>
    <row r="216" spans="1:15">
      <c r="A216" t="s">
        <v>361</v>
      </c>
      <c r="B216" s="2">
        <v>46249</v>
      </c>
      <c r="C216" t="s">
        <v>49</v>
      </c>
      <c r="D216" t="s">
        <v>35</v>
      </c>
      <c r="E216" t="s">
        <v>70</v>
      </c>
      <c r="F216" t="s">
        <v>17</v>
      </c>
      <c r="G216">
        <v>1</v>
      </c>
      <c r="H216" s="3">
        <v>12.5</v>
      </c>
      <c r="I216" s="3">
        <v>12.5</v>
      </c>
      <c r="J216" t="s">
        <v>27</v>
      </c>
      <c r="K216">
        <v>9</v>
      </c>
      <c r="L216">
        <v>18</v>
      </c>
      <c r="M216" t="s">
        <v>19</v>
      </c>
      <c r="N216">
        <f t="shared" si="6"/>
        <v>12.5</v>
      </c>
      <c r="O216" t="b">
        <f t="shared" si="7"/>
        <v>1</v>
      </c>
    </row>
    <row r="217" spans="1:15">
      <c r="A217" t="s">
        <v>362</v>
      </c>
      <c r="B217" s="2">
        <v>46145</v>
      </c>
      <c r="C217" t="s">
        <v>202</v>
      </c>
      <c r="D217" t="s">
        <v>15</v>
      </c>
      <c r="E217" t="s">
        <v>16</v>
      </c>
      <c r="F217" t="s">
        <v>17</v>
      </c>
      <c r="G217">
        <v>1</v>
      </c>
      <c r="H217" s="3">
        <v>9.9499999999999993</v>
      </c>
      <c r="I217" s="3">
        <v>9.9499999999999993</v>
      </c>
      <c r="J217" t="s">
        <v>18</v>
      </c>
      <c r="K217">
        <v>11</v>
      </c>
      <c r="L217">
        <v>23</v>
      </c>
      <c r="M217" t="s">
        <v>19</v>
      </c>
      <c r="N217">
        <f t="shared" si="6"/>
        <v>9.9499999999999993</v>
      </c>
      <c r="O217" t="b">
        <f t="shared" si="7"/>
        <v>1</v>
      </c>
    </row>
    <row r="218" spans="1:15">
      <c r="A218" t="s">
        <v>363</v>
      </c>
      <c r="B218" s="2">
        <v>46074</v>
      </c>
      <c r="C218" t="s">
        <v>286</v>
      </c>
      <c r="D218" t="s">
        <v>35</v>
      </c>
      <c r="E218" t="s">
        <v>36</v>
      </c>
      <c r="F218" t="s">
        <v>23</v>
      </c>
      <c r="G218">
        <v>4</v>
      </c>
      <c r="H218" s="3">
        <v>2.8</v>
      </c>
      <c r="I218" s="3">
        <v>11.2</v>
      </c>
      <c r="J218" t="s">
        <v>18</v>
      </c>
      <c r="K218">
        <v>29</v>
      </c>
      <c r="L218">
        <v>2</v>
      </c>
      <c r="M218" t="s">
        <v>19</v>
      </c>
      <c r="N218">
        <f t="shared" si="6"/>
        <v>11.2</v>
      </c>
      <c r="O218" t="b">
        <f t="shared" si="7"/>
        <v>1</v>
      </c>
    </row>
    <row r="219" spans="1:15">
      <c r="A219" t="s">
        <v>364</v>
      </c>
      <c r="B219" s="2">
        <v>46125</v>
      </c>
      <c r="C219" t="s">
        <v>118</v>
      </c>
      <c r="D219" t="s">
        <v>35</v>
      </c>
      <c r="E219" t="s">
        <v>126</v>
      </c>
      <c r="F219" t="s">
        <v>31</v>
      </c>
      <c r="G219">
        <v>2</v>
      </c>
      <c r="H219" s="3">
        <v>7.95</v>
      </c>
      <c r="I219" s="3">
        <v>-15.9</v>
      </c>
      <c r="J219" t="s">
        <v>18</v>
      </c>
      <c r="K219">
        <v>3</v>
      </c>
      <c r="L219">
        <v>27</v>
      </c>
      <c r="M219" t="s">
        <v>62</v>
      </c>
      <c r="N219">
        <f t="shared" si="6"/>
        <v>15.9</v>
      </c>
      <c r="O219" t="b">
        <f t="shared" si="7"/>
        <v>1</v>
      </c>
    </row>
    <row r="220" spans="1:15">
      <c r="A220" t="s">
        <v>365</v>
      </c>
      <c r="B220" s="2">
        <v>46141</v>
      </c>
      <c r="C220" t="s">
        <v>366</v>
      </c>
      <c r="D220" t="s">
        <v>35</v>
      </c>
      <c r="E220" t="s">
        <v>106</v>
      </c>
      <c r="F220" t="s">
        <v>17</v>
      </c>
      <c r="G220">
        <v>1</v>
      </c>
      <c r="H220" s="3">
        <v>15.95</v>
      </c>
      <c r="I220" s="3">
        <v>15.95</v>
      </c>
      <c r="J220" t="s">
        <v>18</v>
      </c>
      <c r="K220">
        <v>27</v>
      </c>
      <c r="L220">
        <v>21</v>
      </c>
      <c r="M220" t="s">
        <v>19</v>
      </c>
      <c r="N220">
        <f t="shared" si="6"/>
        <v>15.95</v>
      </c>
      <c r="O220" t="b">
        <f t="shared" si="7"/>
        <v>1</v>
      </c>
    </row>
    <row r="221" spans="1:15">
      <c r="A221" t="s">
        <v>367</v>
      </c>
      <c r="B221" s="2">
        <v>46276</v>
      </c>
      <c r="C221" t="s">
        <v>248</v>
      </c>
      <c r="D221" t="s">
        <v>15</v>
      </c>
      <c r="E221" t="s">
        <v>26</v>
      </c>
      <c r="F221" t="s">
        <v>17</v>
      </c>
      <c r="G221">
        <v>1</v>
      </c>
      <c r="H221" s="3">
        <v>11.5</v>
      </c>
      <c r="I221" s="3">
        <v>11.5</v>
      </c>
      <c r="J221" t="s">
        <v>53</v>
      </c>
      <c r="K221">
        <v>4</v>
      </c>
      <c r="L221">
        <v>15</v>
      </c>
      <c r="M221" t="s">
        <v>19</v>
      </c>
      <c r="N221">
        <f t="shared" si="6"/>
        <v>11.5</v>
      </c>
      <c r="O221" t="b">
        <f t="shared" si="7"/>
        <v>1</v>
      </c>
    </row>
    <row r="222" spans="1:15">
      <c r="A222" t="s">
        <v>368</v>
      </c>
      <c r="B222" s="2">
        <v>46194</v>
      </c>
      <c r="C222" t="s">
        <v>369</v>
      </c>
      <c r="D222" t="s">
        <v>15</v>
      </c>
      <c r="E222" t="s">
        <v>103</v>
      </c>
      <c r="F222" t="s">
        <v>23</v>
      </c>
      <c r="G222">
        <v>3</v>
      </c>
      <c r="H222" s="3">
        <v>3.25</v>
      </c>
      <c r="I222" s="3">
        <v>9.75</v>
      </c>
      <c r="J222" t="s">
        <v>32</v>
      </c>
      <c r="K222">
        <v>7</v>
      </c>
      <c r="L222">
        <v>12</v>
      </c>
      <c r="M222" t="s">
        <v>19</v>
      </c>
      <c r="N222">
        <f t="shared" si="6"/>
        <v>9.75</v>
      </c>
      <c r="O222" t="b">
        <f t="shared" si="7"/>
        <v>1</v>
      </c>
    </row>
    <row r="223" spans="1:15">
      <c r="A223" t="s">
        <v>370</v>
      </c>
      <c r="B223" s="2">
        <v>46192</v>
      </c>
      <c r="C223" t="s">
        <v>128</v>
      </c>
      <c r="D223" t="s">
        <v>15</v>
      </c>
      <c r="E223" t="s">
        <v>41</v>
      </c>
      <c r="F223" t="s">
        <v>31</v>
      </c>
      <c r="G223">
        <v>2</v>
      </c>
      <c r="H223" s="3">
        <v>5.5</v>
      </c>
      <c r="I223" s="3">
        <v>11</v>
      </c>
      <c r="J223" t="s">
        <v>27</v>
      </c>
      <c r="K223">
        <v>24</v>
      </c>
      <c r="L223">
        <v>10</v>
      </c>
      <c r="M223" t="s">
        <v>19</v>
      </c>
      <c r="N223">
        <f t="shared" si="6"/>
        <v>11</v>
      </c>
      <c r="O223" t="b">
        <f t="shared" si="7"/>
        <v>1</v>
      </c>
    </row>
    <row r="224" spans="1:15">
      <c r="A224" t="s">
        <v>371</v>
      </c>
      <c r="B224" s="2">
        <v>46174</v>
      </c>
      <c r="C224" t="s">
        <v>85</v>
      </c>
      <c r="D224" t="s">
        <v>35</v>
      </c>
      <c r="E224" t="s">
        <v>56</v>
      </c>
      <c r="F224" t="s">
        <v>23</v>
      </c>
      <c r="G224">
        <v>2</v>
      </c>
      <c r="H224" s="3">
        <v>3.75</v>
      </c>
      <c r="I224" s="3">
        <v>7.5</v>
      </c>
      <c r="J224" t="s">
        <v>18</v>
      </c>
      <c r="K224">
        <v>3</v>
      </c>
      <c r="L224">
        <v>16</v>
      </c>
      <c r="M224" t="s">
        <v>19</v>
      </c>
      <c r="N224">
        <f t="shared" si="6"/>
        <v>7.5</v>
      </c>
      <c r="O224" t="b">
        <f t="shared" si="7"/>
        <v>1</v>
      </c>
    </row>
    <row r="225" spans="1:15">
      <c r="A225" t="s">
        <v>372</v>
      </c>
      <c r="B225" s="2">
        <v>46071</v>
      </c>
      <c r="C225" t="s">
        <v>236</v>
      </c>
      <c r="D225" t="s">
        <v>15</v>
      </c>
      <c r="E225" t="s">
        <v>93</v>
      </c>
      <c r="F225" t="s">
        <v>31</v>
      </c>
      <c r="G225">
        <v>3</v>
      </c>
      <c r="H225" s="3">
        <v>6.25</v>
      </c>
      <c r="I225" s="3">
        <v>18.75</v>
      </c>
      <c r="J225" t="s">
        <v>18</v>
      </c>
      <c r="K225">
        <v>9</v>
      </c>
      <c r="L225">
        <v>9</v>
      </c>
      <c r="M225" t="s">
        <v>19</v>
      </c>
      <c r="N225">
        <f t="shared" si="6"/>
        <v>18.75</v>
      </c>
      <c r="O225" t="b">
        <f t="shared" si="7"/>
        <v>1</v>
      </c>
    </row>
    <row r="226" spans="1:15">
      <c r="A226" t="s">
        <v>373</v>
      </c>
      <c r="B226" s="2">
        <v>46251</v>
      </c>
      <c r="C226" t="s">
        <v>374</v>
      </c>
      <c r="D226" t="s">
        <v>35</v>
      </c>
      <c r="E226" t="s">
        <v>121</v>
      </c>
      <c r="F226" t="s">
        <v>23</v>
      </c>
      <c r="G226">
        <v>2</v>
      </c>
      <c r="H226" s="3">
        <v>6.5</v>
      </c>
      <c r="I226" s="3">
        <v>13</v>
      </c>
      <c r="J226" t="s">
        <v>27</v>
      </c>
      <c r="K226">
        <v>8</v>
      </c>
      <c r="L226">
        <v>12</v>
      </c>
      <c r="M226" t="s">
        <v>19</v>
      </c>
      <c r="N226">
        <f t="shared" si="6"/>
        <v>13</v>
      </c>
      <c r="O226" t="b">
        <f t="shared" si="7"/>
        <v>1</v>
      </c>
    </row>
    <row r="227" spans="1:15">
      <c r="A227" t="s">
        <v>375</v>
      </c>
      <c r="B227" s="2">
        <v>46083</v>
      </c>
      <c r="C227" t="s">
        <v>91</v>
      </c>
      <c r="D227" t="s">
        <v>35</v>
      </c>
      <c r="E227" t="s">
        <v>22</v>
      </c>
      <c r="F227" t="s">
        <v>23</v>
      </c>
      <c r="G227">
        <v>3</v>
      </c>
      <c r="H227" s="3">
        <v>3.1</v>
      </c>
      <c r="I227" s="3">
        <v>9.3000000000000007</v>
      </c>
      <c r="J227" t="s">
        <v>27</v>
      </c>
      <c r="K227">
        <v>25</v>
      </c>
      <c r="L227">
        <v>18</v>
      </c>
      <c r="M227" t="s">
        <v>19</v>
      </c>
      <c r="N227">
        <f t="shared" si="6"/>
        <v>9.3000000000000007</v>
      </c>
      <c r="O227" t="b">
        <f t="shared" si="7"/>
        <v>1</v>
      </c>
    </row>
    <row r="228" spans="1:15">
      <c r="A228" t="s">
        <v>376</v>
      </c>
      <c r="B228" s="2">
        <v>46083</v>
      </c>
      <c r="C228" t="s">
        <v>118</v>
      </c>
      <c r="D228" t="s">
        <v>35</v>
      </c>
      <c r="E228" t="s">
        <v>56</v>
      </c>
      <c r="F228" t="s">
        <v>23</v>
      </c>
      <c r="G228">
        <v>1</v>
      </c>
      <c r="H228" s="3">
        <v>3.75</v>
      </c>
      <c r="I228" s="3">
        <v>3.75</v>
      </c>
      <c r="J228" t="s">
        <v>18</v>
      </c>
      <c r="K228">
        <v>20</v>
      </c>
      <c r="L228">
        <v>6</v>
      </c>
      <c r="M228" t="s">
        <v>19</v>
      </c>
      <c r="N228">
        <f t="shared" si="6"/>
        <v>3.75</v>
      </c>
      <c r="O228" t="b">
        <f t="shared" si="7"/>
        <v>1</v>
      </c>
    </row>
    <row r="229" spans="1:15">
      <c r="A229" t="s">
        <v>377</v>
      </c>
      <c r="B229" s="2">
        <v>46264</v>
      </c>
      <c r="C229" t="s">
        <v>114</v>
      </c>
      <c r="D229" t="s">
        <v>35</v>
      </c>
      <c r="E229" t="s">
        <v>16</v>
      </c>
      <c r="F229" t="s">
        <v>17</v>
      </c>
      <c r="G229">
        <v>2</v>
      </c>
      <c r="H229" s="3">
        <v>9.9499999999999993</v>
      </c>
      <c r="I229" s="3">
        <v>19.899999999999999</v>
      </c>
      <c r="J229" t="s">
        <v>32</v>
      </c>
      <c r="K229">
        <v>28</v>
      </c>
      <c r="L229">
        <v>20</v>
      </c>
      <c r="M229" t="s">
        <v>19</v>
      </c>
      <c r="N229">
        <f t="shared" si="6"/>
        <v>19.899999999999999</v>
      </c>
      <c r="O229" t="b">
        <f t="shared" si="7"/>
        <v>1</v>
      </c>
    </row>
    <row r="230" spans="1:15">
      <c r="A230" t="s">
        <v>378</v>
      </c>
      <c r="B230" s="2">
        <v>46292</v>
      </c>
      <c r="C230" t="s">
        <v>271</v>
      </c>
      <c r="D230" t="s">
        <v>35</v>
      </c>
      <c r="E230" t="s">
        <v>39</v>
      </c>
      <c r="F230" t="s">
        <v>17</v>
      </c>
      <c r="G230">
        <v>3</v>
      </c>
      <c r="H230" s="3">
        <v>12.95</v>
      </c>
      <c r="I230" s="3">
        <v>38.85</v>
      </c>
      <c r="J230" t="s">
        <v>27</v>
      </c>
      <c r="K230">
        <v>17</v>
      </c>
      <c r="L230">
        <v>26</v>
      </c>
      <c r="M230" t="s">
        <v>19</v>
      </c>
      <c r="N230">
        <f t="shared" si="6"/>
        <v>38.849999999999994</v>
      </c>
      <c r="O230" t="b">
        <f t="shared" si="7"/>
        <v>1</v>
      </c>
    </row>
    <row r="231" spans="1:15">
      <c r="A231" t="s">
        <v>379</v>
      </c>
      <c r="B231" s="2">
        <v>46099</v>
      </c>
      <c r="C231" t="s">
        <v>275</v>
      </c>
      <c r="D231" t="s">
        <v>15</v>
      </c>
      <c r="E231" t="s">
        <v>59</v>
      </c>
      <c r="F231" t="s">
        <v>17</v>
      </c>
      <c r="G231">
        <v>2</v>
      </c>
      <c r="H231" s="3">
        <v>11.95</v>
      </c>
      <c r="I231" s="3">
        <v>23.9</v>
      </c>
      <c r="J231" t="s">
        <v>18</v>
      </c>
      <c r="K231">
        <v>19</v>
      </c>
      <c r="L231">
        <v>18</v>
      </c>
      <c r="M231" t="s">
        <v>19</v>
      </c>
      <c r="N231">
        <f t="shared" si="6"/>
        <v>23.9</v>
      </c>
      <c r="O231" t="b">
        <f t="shared" si="7"/>
        <v>1</v>
      </c>
    </row>
    <row r="232" spans="1:15">
      <c r="A232" t="s">
        <v>380</v>
      </c>
      <c r="B232" s="2">
        <v>46284</v>
      </c>
      <c r="C232" t="s">
        <v>381</v>
      </c>
      <c r="D232" t="s">
        <v>35</v>
      </c>
      <c r="E232" t="s">
        <v>50</v>
      </c>
      <c r="F232" t="s">
        <v>17</v>
      </c>
      <c r="G232">
        <v>1</v>
      </c>
      <c r="H232" s="3">
        <v>14.5</v>
      </c>
      <c r="I232" s="3">
        <v>14.5</v>
      </c>
      <c r="J232" t="s">
        <v>32</v>
      </c>
      <c r="K232">
        <v>22</v>
      </c>
      <c r="L232">
        <v>12</v>
      </c>
      <c r="M232" t="s">
        <v>19</v>
      </c>
      <c r="N232">
        <f t="shared" si="6"/>
        <v>14.5</v>
      </c>
      <c r="O232" t="b">
        <f t="shared" si="7"/>
        <v>1</v>
      </c>
    </row>
    <row r="233" spans="1:15">
      <c r="A233" t="s">
        <v>382</v>
      </c>
      <c r="B233" s="2">
        <v>46034</v>
      </c>
      <c r="C233" t="s">
        <v>314</v>
      </c>
      <c r="D233" t="s">
        <v>35</v>
      </c>
      <c r="E233" t="s">
        <v>70</v>
      </c>
      <c r="F233" t="s">
        <v>17</v>
      </c>
      <c r="G233">
        <v>1</v>
      </c>
      <c r="H233" s="3">
        <v>12.5</v>
      </c>
      <c r="I233" s="3">
        <v>12.5</v>
      </c>
      <c r="J233" t="s">
        <v>27</v>
      </c>
      <c r="K233">
        <v>14</v>
      </c>
      <c r="L233">
        <v>16</v>
      </c>
      <c r="M233" t="s">
        <v>19</v>
      </c>
      <c r="N233">
        <f t="shared" si="6"/>
        <v>12.5</v>
      </c>
      <c r="O233" t="b">
        <f t="shared" si="7"/>
        <v>1</v>
      </c>
    </row>
    <row r="234" spans="1:15">
      <c r="A234" t="s">
        <v>383</v>
      </c>
      <c r="B234" s="2">
        <v>46055</v>
      </c>
      <c r="C234" t="s">
        <v>265</v>
      </c>
      <c r="D234" t="s">
        <v>35</v>
      </c>
      <c r="E234" t="s">
        <v>103</v>
      </c>
      <c r="F234" t="s">
        <v>23</v>
      </c>
      <c r="G234">
        <v>1</v>
      </c>
      <c r="H234" s="3">
        <v>3.25</v>
      </c>
      <c r="I234" s="3">
        <v>3.25</v>
      </c>
      <c r="J234" t="s">
        <v>53</v>
      </c>
      <c r="K234">
        <v>21</v>
      </c>
      <c r="L234">
        <v>14</v>
      </c>
      <c r="M234" t="s">
        <v>19</v>
      </c>
      <c r="N234">
        <f t="shared" si="6"/>
        <v>3.25</v>
      </c>
      <c r="O234" t="b">
        <f t="shared" si="7"/>
        <v>1</v>
      </c>
    </row>
    <row r="235" spans="1:15">
      <c r="A235" t="s">
        <v>384</v>
      </c>
      <c r="B235" s="2">
        <v>46238</v>
      </c>
      <c r="C235" t="s">
        <v>385</v>
      </c>
      <c r="D235" t="s">
        <v>15</v>
      </c>
      <c r="E235" t="s">
        <v>46</v>
      </c>
      <c r="F235" t="s">
        <v>47</v>
      </c>
      <c r="G235">
        <v>1</v>
      </c>
      <c r="H235" s="3">
        <v>6.95</v>
      </c>
      <c r="I235" s="3">
        <v>6.95</v>
      </c>
      <c r="J235" t="s">
        <v>53</v>
      </c>
      <c r="K235">
        <v>22</v>
      </c>
      <c r="L235">
        <v>18</v>
      </c>
      <c r="M235" t="s">
        <v>19</v>
      </c>
      <c r="N235">
        <f t="shared" si="6"/>
        <v>6.95</v>
      </c>
      <c r="O235" t="b">
        <f t="shared" si="7"/>
        <v>1</v>
      </c>
    </row>
    <row r="236" spans="1:15">
      <c r="A236" t="s">
        <v>386</v>
      </c>
      <c r="B236" s="2">
        <v>46091</v>
      </c>
      <c r="C236" t="s">
        <v>387</v>
      </c>
      <c r="D236" t="s">
        <v>35</v>
      </c>
      <c r="E236" t="s">
        <v>106</v>
      </c>
      <c r="F236" t="s">
        <v>17</v>
      </c>
      <c r="G236">
        <v>4</v>
      </c>
      <c r="H236" s="3">
        <v>15.95</v>
      </c>
      <c r="I236" s="3">
        <v>63.8</v>
      </c>
      <c r="J236" t="s">
        <v>32</v>
      </c>
      <c r="K236">
        <v>8</v>
      </c>
      <c r="L236">
        <v>10</v>
      </c>
      <c r="M236" t="s">
        <v>19</v>
      </c>
      <c r="N236">
        <f t="shared" si="6"/>
        <v>63.8</v>
      </c>
      <c r="O236" t="b">
        <f t="shared" si="7"/>
        <v>1</v>
      </c>
    </row>
    <row r="237" spans="1:15">
      <c r="A237" t="s">
        <v>388</v>
      </c>
      <c r="B237" s="2">
        <v>46034</v>
      </c>
      <c r="C237" t="s">
        <v>137</v>
      </c>
      <c r="D237" t="s">
        <v>35</v>
      </c>
      <c r="E237" t="s">
        <v>36</v>
      </c>
      <c r="F237" t="s">
        <v>23</v>
      </c>
      <c r="G237">
        <v>1</v>
      </c>
      <c r="H237" s="3">
        <v>2.8</v>
      </c>
      <c r="I237" s="3">
        <v>2.8</v>
      </c>
      <c r="J237" t="s">
        <v>27</v>
      </c>
      <c r="K237">
        <v>27</v>
      </c>
      <c r="L237">
        <v>11</v>
      </c>
      <c r="M237" t="s">
        <v>19</v>
      </c>
      <c r="N237">
        <f t="shared" si="6"/>
        <v>2.8</v>
      </c>
      <c r="O237" t="b">
        <f t="shared" si="7"/>
        <v>1</v>
      </c>
    </row>
    <row r="238" spans="1:15">
      <c r="A238" t="s">
        <v>389</v>
      </c>
      <c r="B238" s="2">
        <v>46258</v>
      </c>
      <c r="C238" t="s">
        <v>14</v>
      </c>
      <c r="D238" t="s">
        <v>15</v>
      </c>
      <c r="E238" t="s">
        <v>59</v>
      </c>
      <c r="F238" t="s">
        <v>17</v>
      </c>
      <c r="G238">
        <v>1</v>
      </c>
      <c r="H238" s="3">
        <v>11.95</v>
      </c>
      <c r="I238" s="3">
        <v>11.95</v>
      </c>
      <c r="J238" t="s">
        <v>53</v>
      </c>
      <c r="K238">
        <v>29</v>
      </c>
      <c r="L238">
        <v>7</v>
      </c>
      <c r="M238" t="s">
        <v>19</v>
      </c>
      <c r="N238">
        <f t="shared" si="6"/>
        <v>11.95</v>
      </c>
      <c r="O238" t="b">
        <f t="shared" si="7"/>
        <v>1</v>
      </c>
    </row>
    <row r="239" spans="1:15">
      <c r="A239" t="s">
        <v>390</v>
      </c>
      <c r="B239" s="2">
        <v>46146</v>
      </c>
      <c r="C239" t="s">
        <v>391</v>
      </c>
      <c r="D239" t="s">
        <v>15</v>
      </c>
      <c r="E239" t="s">
        <v>83</v>
      </c>
      <c r="F239" t="s">
        <v>17</v>
      </c>
      <c r="G239">
        <v>1</v>
      </c>
      <c r="H239" s="3">
        <v>13.5</v>
      </c>
      <c r="I239" s="3">
        <v>13.5</v>
      </c>
      <c r="J239" t="s">
        <v>53</v>
      </c>
      <c r="K239">
        <v>23</v>
      </c>
      <c r="L239">
        <v>20</v>
      </c>
      <c r="M239" t="s">
        <v>19</v>
      </c>
      <c r="N239">
        <f t="shared" si="6"/>
        <v>13.5</v>
      </c>
      <c r="O239" t="b">
        <f t="shared" si="7"/>
        <v>1</v>
      </c>
    </row>
    <row r="240" spans="1:15">
      <c r="A240" t="s">
        <v>392</v>
      </c>
      <c r="B240" s="2">
        <v>46148</v>
      </c>
      <c r="C240" t="s">
        <v>171</v>
      </c>
      <c r="D240" t="s">
        <v>35</v>
      </c>
      <c r="E240" t="s">
        <v>16</v>
      </c>
      <c r="F240" t="s">
        <v>17</v>
      </c>
      <c r="G240">
        <v>1</v>
      </c>
      <c r="H240" s="3">
        <v>9.9499999999999993</v>
      </c>
      <c r="I240" s="3">
        <v>0</v>
      </c>
      <c r="J240" t="s">
        <v>53</v>
      </c>
      <c r="K240">
        <v>17</v>
      </c>
      <c r="L240">
        <v>21</v>
      </c>
      <c r="M240" t="s">
        <v>152</v>
      </c>
      <c r="N240">
        <f t="shared" si="6"/>
        <v>9.9499999999999993</v>
      </c>
      <c r="O240" t="b">
        <f t="shared" si="7"/>
        <v>1</v>
      </c>
    </row>
    <row r="241" spans="1:15">
      <c r="A241" t="s">
        <v>393</v>
      </c>
      <c r="B241" s="2">
        <v>46142</v>
      </c>
      <c r="C241" t="s">
        <v>134</v>
      </c>
      <c r="D241" t="s">
        <v>35</v>
      </c>
      <c r="E241" t="s">
        <v>93</v>
      </c>
      <c r="F241" t="s">
        <v>31</v>
      </c>
      <c r="G241">
        <v>1</v>
      </c>
      <c r="H241" s="3">
        <v>6.25</v>
      </c>
      <c r="I241" s="3">
        <v>-6.25</v>
      </c>
      <c r="J241" t="s">
        <v>32</v>
      </c>
      <c r="K241">
        <v>22</v>
      </c>
      <c r="L241">
        <v>18</v>
      </c>
      <c r="M241" t="s">
        <v>62</v>
      </c>
      <c r="N241">
        <f t="shared" si="6"/>
        <v>6.25</v>
      </c>
      <c r="O241" t="b">
        <f t="shared" si="7"/>
        <v>1</v>
      </c>
    </row>
    <row r="242" spans="1:15">
      <c r="A242" t="s">
        <v>394</v>
      </c>
      <c r="B242" s="2">
        <v>46144</v>
      </c>
      <c r="C242" t="s">
        <v>395</v>
      </c>
      <c r="D242" t="s">
        <v>15</v>
      </c>
      <c r="E242" t="s">
        <v>22</v>
      </c>
      <c r="F242" t="s">
        <v>23</v>
      </c>
      <c r="G242">
        <v>1</v>
      </c>
      <c r="H242" s="3">
        <v>3.1</v>
      </c>
      <c r="I242" s="3">
        <v>3.1</v>
      </c>
      <c r="J242" t="s">
        <v>53</v>
      </c>
      <c r="K242">
        <v>19</v>
      </c>
      <c r="L242">
        <v>7</v>
      </c>
      <c r="M242" t="s">
        <v>19</v>
      </c>
      <c r="N242">
        <f t="shared" si="6"/>
        <v>3.1</v>
      </c>
      <c r="O242" t="b">
        <f t="shared" si="7"/>
        <v>1</v>
      </c>
    </row>
    <row r="243" spans="1:15">
      <c r="A243" t="s">
        <v>396</v>
      </c>
      <c r="B243" s="2">
        <v>46112</v>
      </c>
      <c r="C243" t="s">
        <v>208</v>
      </c>
      <c r="D243" t="s">
        <v>35</v>
      </c>
      <c r="E243" t="s">
        <v>103</v>
      </c>
      <c r="F243" t="s">
        <v>23</v>
      </c>
      <c r="G243">
        <v>1</v>
      </c>
      <c r="H243" s="3">
        <v>3.25</v>
      </c>
      <c r="I243" s="3">
        <v>3.25</v>
      </c>
      <c r="J243" t="s">
        <v>18</v>
      </c>
      <c r="K243">
        <v>21</v>
      </c>
      <c r="L243">
        <v>20</v>
      </c>
      <c r="M243" t="s">
        <v>19</v>
      </c>
      <c r="N243">
        <f t="shared" si="6"/>
        <v>3.25</v>
      </c>
      <c r="O243" t="b">
        <f t="shared" si="7"/>
        <v>1</v>
      </c>
    </row>
    <row r="244" spans="1:15">
      <c r="A244" t="s">
        <v>397</v>
      </c>
      <c r="B244" s="2">
        <v>46291</v>
      </c>
      <c r="C244" t="s">
        <v>398</v>
      </c>
      <c r="D244" t="s">
        <v>15</v>
      </c>
      <c r="E244" t="s">
        <v>50</v>
      </c>
      <c r="F244" t="s">
        <v>17</v>
      </c>
      <c r="G244">
        <v>1</v>
      </c>
      <c r="H244" s="3">
        <v>14.5</v>
      </c>
      <c r="I244" s="3">
        <v>14.5</v>
      </c>
      <c r="J244" t="s">
        <v>27</v>
      </c>
      <c r="K244">
        <v>28</v>
      </c>
      <c r="L244">
        <v>16</v>
      </c>
      <c r="M244" t="s">
        <v>19</v>
      </c>
      <c r="N244">
        <f t="shared" si="6"/>
        <v>14.5</v>
      </c>
      <c r="O244" t="b">
        <f t="shared" si="7"/>
        <v>1</v>
      </c>
    </row>
    <row r="245" spans="1:15">
      <c r="A245" t="s">
        <v>399</v>
      </c>
      <c r="B245" s="2">
        <v>46096</v>
      </c>
      <c r="C245" t="s">
        <v>400</v>
      </c>
      <c r="D245" t="s">
        <v>35</v>
      </c>
      <c r="E245" t="s">
        <v>78</v>
      </c>
      <c r="F245" t="s">
        <v>47</v>
      </c>
      <c r="G245">
        <v>3</v>
      </c>
      <c r="H245" s="3">
        <v>7.25</v>
      </c>
      <c r="I245" s="3">
        <v>21.75</v>
      </c>
      <c r="J245" t="s">
        <v>27</v>
      </c>
      <c r="K245">
        <v>17</v>
      </c>
      <c r="L245">
        <v>13</v>
      </c>
      <c r="M245" t="s">
        <v>19</v>
      </c>
      <c r="N245">
        <f t="shared" si="6"/>
        <v>21.75</v>
      </c>
      <c r="O245" t="b">
        <f t="shared" si="7"/>
        <v>1</v>
      </c>
    </row>
    <row r="246" spans="1:15">
      <c r="A246" t="s">
        <v>401</v>
      </c>
      <c r="B246" s="2">
        <v>46147</v>
      </c>
      <c r="C246" t="s">
        <v>326</v>
      </c>
      <c r="D246" t="s">
        <v>15</v>
      </c>
      <c r="E246" t="s">
        <v>39</v>
      </c>
      <c r="F246" t="s">
        <v>17</v>
      </c>
      <c r="G246">
        <v>3</v>
      </c>
      <c r="H246" s="3">
        <v>12.95</v>
      </c>
      <c r="I246" s="3">
        <v>38.85</v>
      </c>
      <c r="J246" t="s">
        <v>27</v>
      </c>
      <c r="K246">
        <v>7</v>
      </c>
      <c r="L246">
        <v>24</v>
      </c>
      <c r="M246" t="s">
        <v>19</v>
      </c>
      <c r="N246">
        <f t="shared" si="6"/>
        <v>38.849999999999994</v>
      </c>
      <c r="O246" t="b">
        <f t="shared" si="7"/>
        <v>1</v>
      </c>
    </row>
    <row r="247" spans="1:15">
      <c r="A247" t="s">
        <v>402</v>
      </c>
      <c r="B247" s="2">
        <v>46216</v>
      </c>
      <c r="C247" t="s">
        <v>191</v>
      </c>
      <c r="D247" t="s">
        <v>35</v>
      </c>
      <c r="E247" t="s">
        <v>39</v>
      </c>
      <c r="F247" t="s">
        <v>17</v>
      </c>
      <c r="G247">
        <v>1</v>
      </c>
      <c r="H247" s="3">
        <v>12.95</v>
      </c>
      <c r="I247" s="3">
        <v>-12.95</v>
      </c>
      <c r="J247" t="s">
        <v>18</v>
      </c>
      <c r="K247">
        <v>19</v>
      </c>
      <c r="L247">
        <v>25</v>
      </c>
      <c r="M247" t="s">
        <v>62</v>
      </c>
      <c r="N247">
        <f t="shared" si="6"/>
        <v>12.95</v>
      </c>
      <c r="O247" t="b">
        <f t="shared" si="7"/>
        <v>1</v>
      </c>
    </row>
    <row r="248" spans="1:15">
      <c r="A248" t="s">
        <v>403</v>
      </c>
      <c r="B248" s="2">
        <v>46134</v>
      </c>
      <c r="C248" t="s">
        <v>374</v>
      </c>
      <c r="D248" t="s">
        <v>35</v>
      </c>
      <c r="E248" t="s">
        <v>26</v>
      </c>
      <c r="F248" t="s">
        <v>17</v>
      </c>
      <c r="G248">
        <v>1</v>
      </c>
      <c r="H248" s="3">
        <v>11.5</v>
      </c>
      <c r="I248" s="3">
        <v>11.5</v>
      </c>
      <c r="J248" t="s">
        <v>18</v>
      </c>
      <c r="K248">
        <v>25</v>
      </c>
      <c r="L248">
        <v>22</v>
      </c>
      <c r="M248" t="s">
        <v>19</v>
      </c>
      <c r="N248">
        <f t="shared" si="6"/>
        <v>11.5</v>
      </c>
      <c r="O248" t="b">
        <f t="shared" si="7"/>
        <v>1</v>
      </c>
    </row>
    <row r="249" spans="1:15">
      <c r="A249" t="s">
        <v>404</v>
      </c>
      <c r="B249" s="2">
        <v>46147</v>
      </c>
      <c r="C249" t="s">
        <v>114</v>
      </c>
      <c r="D249" t="s">
        <v>35</v>
      </c>
      <c r="E249" t="s">
        <v>46</v>
      </c>
      <c r="F249" t="s">
        <v>47</v>
      </c>
      <c r="G249">
        <v>3</v>
      </c>
      <c r="H249" s="3">
        <v>6.95</v>
      </c>
      <c r="I249" s="3">
        <v>20.85</v>
      </c>
      <c r="J249" t="s">
        <v>32</v>
      </c>
      <c r="K249">
        <v>11</v>
      </c>
      <c r="L249">
        <v>19</v>
      </c>
      <c r="M249" t="s">
        <v>19</v>
      </c>
      <c r="N249">
        <f t="shared" si="6"/>
        <v>20.85</v>
      </c>
      <c r="O249" t="b">
        <f t="shared" si="7"/>
        <v>1</v>
      </c>
    </row>
    <row r="250" spans="1:15">
      <c r="A250" t="s">
        <v>405</v>
      </c>
      <c r="B250" s="2">
        <v>46217</v>
      </c>
      <c r="C250" t="s">
        <v>271</v>
      </c>
      <c r="D250" t="s">
        <v>35</v>
      </c>
      <c r="E250" t="s">
        <v>126</v>
      </c>
      <c r="F250" t="s">
        <v>31</v>
      </c>
      <c r="G250">
        <v>1</v>
      </c>
      <c r="H250" s="3">
        <v>7.95</v>
      </c>
      <c r="I250" s="3">
        <v>7.95</v>
      </c>
      <c r="J250" t="s">
        <v>53</v>
      </c>
      <c r="K250">
        <v>26</v>
      </c>
      <c r="L250">
        <v>24</v>
      </c>
      <c r="M250" t="s">
        <v>19</v>
      </c>
      <c r="N250">
        <f t="shared" si="6"/>
        <v>7.95</v>
      </c>
      <c r="O250" t="b">
        <f t="shared" si="7"/>
        <v>1</v>
      </c>
    </row>
    <row r="251" spans="1:15">
      <c r="A251" t="s">
        <v>406</v>
      </c>
      <c r="B251" s="2">
        <v>46263</v>
      </c>
      <c r="C251" t="s">
        <v>228</v>
      </c>
      <c r="D251" t="s">
        <v>35</v>
      </c>
      <c r="E251" t="s">
        <v>30</v>
      </c>
      <c r="F251" t="s">
        <v>31</v>
      </c>
      <c r="G251">
        <v>1</v>
      </c>
      <c r="H251" s="3">
        <v>8.5</v>
      </c>
      <c r="I251" s="3">
        <v>8.5</v>
      </c>
      <c r="J251" t="s">
        <v>53</v>
      </c>
      <c r="K251">
        <v>19</v>
      </c>
      <c r="L251">
        <v>15</v>
      </c>
      <c r="M251" t="s">
        <v>19</v>
      </c>
      <c r="N251">
        <f t="shared" si="6"/>
        <v>8.5</v>
      </c>
      <c r="O251" t="b">
        <f t="shared" si="7"/>
        <v>1</v>
      </c>
    </row>
    <row r="252" spans="1:15">
      <c r="A252" t="s">
        <v>407</v>
      </c>
      <c r="B252" s="2">
        <v>46097</v>
      </c>
      <c r="C252" t="s">
        <v>408</v>
      </c>
      <c r="D252" t="s">
        <v>15</v>
      </c>
      <c r="E252" t="s">
        <v>121</v>
      </c>
      <c r="F252" t="s">
        <v>23</v>
      </c>
      <c r="G252">
        <v>2</v>
      </c>
      <c r="H252" s="3">
        <v>6.5</v>
      </c>
      <c r="I252" s="3">
        <v>13</v>
      </c>
      <c r="J252" t="s">
        <v>18</v>
      </c>
      <c r="K252">
        <v>13</v>
      </c>
      <c r="L252">
        <v>12</v>
      </c>
      <c r="M252" t="s">
        <v>19</v>
      </c>
      <c r="N252">
        <f t="shared" si="6"/>
        <v>13</v>
      </c>
      <c r="O252" t="b">
        <f t="shared" si="7"/>
        <v>1</v>
      </c>
    </row>
    <row r="253" spans="1:15">
      <c r="A253" t="s">
        <v>409</v>
      </c>
      <c r="B253" s="2">
        <v>46148</v>
      </c>
      <c r="C253" t="s">
        <v>230</v>
      </c>
      <c r="D253" t="s">
        <v>35</v>
      </c>
      <c r="E253" t="s">
        <v>93</v>
      </c>
      <c r="F253" t="s">
        <v>31</v>
      </c>
      <c r="G253">
        <v>1</v>
      </c>
      <c r="H253" s="3">
        <v>6.25</v>
      </c>
      <c r="I253" s="3">
        <v>6.25</v>
      </c>
      <c r="J253" t="s">
        <v>18</v>
      </c>
      <c r="K253">
        <v>24</v>
      </c>
      <c r="L253">
        <v>24</v>
      </c>
      <c r="M253" t="s">
        <v>19</v>
      </c>
      <c r="N253">
        <f t="shared" si="6"/>
        <v>6.25</v>
      </c>
      <c r="O253" t="b">
        <f t="shared" si="7"/>
        <v>1</v>
      </c>
    </row>
    <row r="254" spans="1:15">
      <c r="A254" t="s">
        <v>410</v>
      </c>
      <c r="B254" s="2">
        <v>46274</v>
      </c>
      <c r="C254" t="s">
        <v>271</v>
      </c>
      <c r="D254" t="s">
        <v>35</v>
      </c>
      <c r="E254" t="s">
        <v>106</v>
      </c>
      <c r="F254" t="s">
        <v>17</v>
      </c>
      <c r="G254">
        <v>1</v>
      </c>
      <c r="H254" s="3">
        <v>15.95</v>
      </c>
      <c r="I254" s="3">
        <v>15.95</v>
      </c>
      <c r="J254" t="s">
        <v>53</v>
      </c>
      <c r="K254">
        <v>18</v>
      </c>
      <c r="L254">
        <v>6</v>
      </c>
      <c r="M254" t="s">
        <v>19</v>
      </c>
      <c r="N254">
        <f t="shared" si="6"/>
        <v>15.95</v>
      </c>
      <c r="O254" t="b">
        <f t="shared" si="7"/>
        <v>1</v>
      </c>
    </row>
    <row r="255" spans="1:15">
      <c r="A255" t="s">
        <v>411</v>
      </c>
      <c r="B255" s="2">
        <v>46053</v>
      </c>
      <c r="C255" t="s">
        <v>199</v>
      </c>
      <c r="D255" t="s">
        <v>35</v>
      </c>
      <c r="E255" t="s">
        <v>83</v>
      </c>
      <c r="F255" t="s">
        <v>17</v>
      </c>
      <c r="G255">
        <v>2</v>
      </c>
      <c r="H255" s="3">
        <v>13.5</v>
      </c>
      <c r="I255" s="3">
        <v>27</v>
      </c>
      <c r="J255" t="s">
        <v>32</v>
      </c>
      <c r="K255">
        <v>5</v>
      </c>
      <c r="L255">
        <v>20</v>
      </c>
      <c r="M255" t="s">
        <v>19</v>
      </c>
      <c r="N255">
        <f t="shared" si="6"/>
        <v>27</v>
      </c>
      <c r="O255" t="b">
        <f t="shared" si="7"/>
        <v>1</v>
      </c>
    </row>
    <row r="256" spans="1:15">
      <c r="A256" t="s">
        <v>412</v>
      </c>
      <c r="B256" s="2">
        <v>46141</v>
      </c>
      <c r="C256" t="s">
        <v>355</v>
      </c>
      <c r="D256" t="s">
        <v>15</v>
      </c>
      <c r="E256" t="s">
        <v>70</v>
      </c>
      <c r="F256" t="s">
        <v>17</v>
      </c>
      <c r="G256">
        <v>1</v>
      </c>
      <c r="H256" s="3">
        <v>12.5</v>
      </c>
      <c r="I256" s="3">
        <v>12.5</v>
      </c>
      <c r="J256" t="s">
        <v>18</v>
      </c>
      <c r="K256">
        <v>30</v>
      </c>
      <c r="L256">
        <v>23</v>
      </c>
      <c r="M256" t="s">
        <v>19</v>
      </c>
      <c r="N256">
        <f t="shared" si="6"/>
        <v>12.5</v>
      </c>
      <c r="O256" t="b">
        <f t="shared" si="7"/>
        <v>1</v>
      </c>
    </row>
    <row r="257" spans="1:15">
      <c r="A257" t="s">
        <v>413</v>
      </c>
      <c r="B257" s="2">
        <v>46270</v>
      </c>
      <c r="C257" t="s">
        <v>95</v>
      </c>
      <c r="D257" t="s">
        <v>35</v>
      </c>
      <c r="E257" t="s">
        <v>36</v>
      </c>
      <c r="F257" t="s">
        <v>23</v>
      </c>
      <c r="G257">
        <v>1</v>
      </c>
      <c r="H257" s="3">
        <v>2.8</v>
      </c>
      <c r="I257" s="3">
        <v>2.8</v>
      </c>
      <c r="J257" t="s">
        <v>18</v>
      </c>
      <c r="K257">
        <v>1</v>
      </c>
      <c r="L257">
        <v>16</v>
      </c>
      <c r="M257" t="s">
        <v>19</v>
      </c>
      <c r="N257">
        <f t="shared" si="6"/>
        <v>2.8</v>
      </c>
      <c r="O257" t="b">
        <f t="shared" si="7"/>
        <v>1</v>
      </c>
    </row>
    <row r="258" spans="1:15">
      <c r="A258" t="s">
        <v>414</v>
      </c>
      <c r="B258" s="2">
        <v>46163</v>
      </c>
      <c r="C258" t="s">
        <v>263</v>
      </c>
      <c r="D258" t="s">
        <v>35</v>
      </c>
      <c r="E258" t="s">
        <v>22</v>
      </c>
      <c r="F258" t="s">
        <v>23</v>
      </c>
      <c r="G258">
        <v>2</v>
      </c>
      <c r="H258" s="3">
        <v>3.1</v>
      </c>
      <c r="I258" s="3">
        <v>6.2</v>
      </c>
      <c r="J258" t="s">
        <v>27</v>
      </c>
      <c r="K258">
        <v>6</v>
      </c>
      <c r="L258">
        <v>2</v>
      </c>
      <c r="M258" t="s">
        <v>19</v>
      </c>
      <c r="N258">
        <f t="shared" ref="N258:N321" si="8">G258*H258</f>
        <v>6.2</v>
      </c>
      <c r="O258" t="b">
        <f t="shared" ref="O258:O321" si="9">OR(AND(M258="Completed",I258=N258),AND(M258="Refunded",ABS(I258)=N258),AND(M258="Cancelled",I258=0))</f>
        <v>1</v>
      </c>
    </row>
    <row r="259" spans="1:15">
      <c r="A259" t="s">
        <v>415</v>
      </c>
      <c r="B259" s="2">
        <v>46072</v>
      </c>
      <c r="C259" t="s">
        <v>116</v>
      </c>
      <c r="D259" t="s">
        <v>35</v>
      </c>
      <c r="E259" t="s">
        <v>56</v>
      </c>
      <c r="F259" t="s">
        <v>23</v>
      </c>
      <c r="G259">
        <v>1</v>
      </c>
      <c r="H259" s="3">
        <v>3.75</v>
      </c>
      <c r="I259" s="3">
        <v>3.75</v>
      </c>
      <c r="J259" t="s">
        <v>32</v>
      </c>
      <c r="K259">
        <v>9</v>
      </c>
      <c r="L259">
        <v>19</v>
      </c>
      <c r="M259" t="s">
        <v>19</v>
      </c>
      <c r="N259">
        <f t="shared" si="8"/>
        <v>3.75</v>
      </c>
      <c r="O259" t="b">
        <f t="shared" si="9"/>
        <v>1</v>
      </c>
    </row>
    <row r="260" spans="1:15">
      <c r="A260" t="s">
        <v>416</v>
      </c>
      <c r="B260" s="2">
        <v>46063</v>
      </c>
      <c r="C260" t="s">
        <v>385</v>
      </c>
      <c r="D260" t="s">
        <v>15</v>
      </c>
      <c r="E260" t="s">
        <v>121</v>
      </c>
      <c r="F260" t="s">
        <v>23</v>
      </c>
      <c r="G260">
        <v>1</v>
      </c>
      <c r="H260" s="3">
        <v>6.5</v>
      </c>
      <c r="I260" s="3">
        <v>6.5</v>
      </c>
      <c r="J260" t="s">
        <v>27</v>
      </c>
      <c r="K260">
        <v>28</v>
      </c>
      <c r="L260">
        <v>10</v>
      </c>
      <c r="M260" t="s">
        <v>19</v>
      </c>
      <c r="N260">
        <f t="shared" si="8"/>
        <v>6.5</v>
      </c>
      <c r="O260" t="b">
        <f t="shared" si="9"/>
        <v>1</v>
      </c>
    </row>
    <row r="261" spans="1:15">
      <c r="A261" t="s">
        <v>417</v>
      </c>
      <c r="B261" s="2">
        <v>46039</v>
      </c>
      <c r="C261" t="s">
        <v>398</v>
      </c>
      <c r="D261" t="s">
        <v>15</v>
      </c>
      <c r="E261" t="s">
        <v>36</v>
      </c>
      <c r="F261" t="s">
        <v>23</v>
      </c>
      <c r="G261">
        <v>1</v>
      </c>
      <c r="H261" s="3">
        <v>2.8</v>
      </c>
      <c r="I261" s="3">
        <v>2.8</v>
      </c>
      <c r="J261" t="s">
        <v>18</v>
      </c>
      <c r="K261">
        <v>1</v>
      </c>
      <c r="L261">
        <v>18</v>
      </c>
      <c r="M261" t="s">
        <v>19</v>
      </c>
      <c r="N261">
        <f t="shared" si="8"/>
        <v>2.8</v>
      </c>
      <c r="O261" t="b">
        <f t="shared" si="9"/>
        <v>1</v>
      </c>
    </row>
    <row r="262" spans="1:15">
      <c r="A262" t="s">
        <v>418</v>
      </c>
      <c r="B262" s="2">
        <v>46065</v>
      </c>
      <c r="C262" t="s">
        <v>137</v>
      </c>
      <c r="D262" t="s">
        <v>35</v>
      </c>
      <c r="E262" t="s">
        <v>93</v>
      </c>
      <c r="F262" t="s">
        <v>31</v>
      </c>
      <c r="G262">
        <v>1</v>
      </c>
      <c r="H262" s="3">
        <v>6.25</v>
      </c>
      <c r="I262" s="3">
        <v>6.25</v>
      </c>
      <c r="J262" t="s">
        <v>27</v>
      </c>
      <c r="K262">
        <v>8</v>
      </c>
      <c r="L262">
        <v>30</v>
      </c>
      <c r="M262" t="s">
        <v>19</v>
      </c>
      <c r="N262">
        <f t="shared" si="8"/>
        <v>6.25</v>
      </c>
      <c r="O262" t="b">
        <f t="shared" si="9"/>
        <v>1</v>
      </c>
    </row>
    <row r="263" spans="1:15">
      <c r="A263" t="s">
        <v>419</v>
      </c>
      <c r="B263" s="2">
        <v>46266</v>
      </c>
      <c r="C263" t="s">
        <v>154</v>
      </c>
      <c r="D263" t="s">
        <v>15</v>
      </c>
      <c r="E263" t="s">
        <v>41</v>
      </c>
      <c r="F263" t="s">
        <v>31</v>
      </c>
      <c r="G263">
        <v>3</v>
      </c>
      <c r="H263" s="3">
        <v>5.5</v>
      </c>
      <c r="I263" s="3">
        <v>16.5</v>
      </c>
      <c r="J263" t="s">
        <v>27</v>
      </c>
      <c r="K263">
        <v>22</v>
      </c>
      <c r="L263">
        <v>7</v>
      </c>
      <c r="M263" t="s">
        <v>19</v>
      </c>
      <c r="N263">
        <f t="shared" si="8"/>
        <v>16.5</v>
      </c>
      <c r="O263" t="b">
        <f t="shared" si="9"/>
        <v>1</v>
      </c>
    </row>
    <row r="264" spans="1:15">
      <c r="A264" t="s">
        <v>420</v>
      </c>
      <c r="B264" s="2">
        <v>46184</v>
      </c>
      <c r="C264" t="s">
        <v>421</v>
      </c>
      <c r="D264" t="s">
        <v>15</v>
      </c>
      <c r="E264" t="s">
        <v>50</v>
      </c>
      <c r="F264" t="s">
        <v>17</v>
      </c>
      <c r="G264">
        <v>2</v>
      </c>
      <c r="H264" s="3">
        <v>14.5</v>
      </c>
      <c r="I264" s="3">
        <v>29</v>
      </c>
      <c r="J264" t="s">
        <v>27</v>
      </c>
      <c r="K264">
        <v>10</v>
      </c>
      <c r="L264">
        <v>21</v>
      </c>
      <c r="M264" t="s">
        <v>19</v>
      </c>
      <c r="N264">
        <f t="shared" si="8"/>
        <v>29</v>
      </c>
      <c r="O264" t="b">
        <f t="shared" si="9"/>
        <v>1</v>
      </c>
    </row>
    <row r="265" spans="1:15">
      <c r="A265" t="s">
        <v>422</v>
      </c>
      <c r="B265" s="2">
        <v>46146</v>
      </c>
      <c r="C265" t="s">
        <v>137</v>
      </c>
      <c r="D265" t="s">
        <v>35</v>
      </c>
      <c r="E265" t="s">
        <v>36</v>
      </c>
      <c r="F265" t="s">
        <v>23</v>
      </c>
      <c r="G265">
        <v>1</v>
      </c>
      <c r="H265" s="3">
        <v>2.8</v>
      </c>
      <c r="I265" s="3">
        <v>0</v>
      </c>
      <c r="J265" t="s">
        <v>27</v>
      </c>
      <c r="K265">
        <v>24</v>
      </c>
      <c r="L265">
        <v>2</v>
      </c>
      <c r="M265" t="s">
        <v>152</v>
      </c>
      <c r="N265">
        <f t="shared" si="8"/>
        <v>2.8</v>
      </c>
      <c r="O265" t="b">
        <f t="shared" si="9"/>
        <v>1</v>
      </c>
    </row>
    <row r="266" spans="1:15">
      <c r="A266" t="s">
        <v>423</v>
      </c>
      <c r="B266" s="2">
        <v>46063</v>
      </c>
      <c r="C266" t="s">
        <v>263</v>
      </c>
      <c r="D266" t="s">
        <v>35</v>
      </c>
      <c r="E266" t="s">
        <v>59</v>
      </c>
      <c r="F266" t="s">
        <v>17</v>
      </c>
      <c r="G266">
        <v>1</v>
      </c>
      <c r="H266" s="3">
        <v>11.95</v>
      </c>
      <c r="I266" s="3">
        <v>11.95</v>
      </c>
      <c r="J266" t="s">
        <v>18</v>
      </c>
      <c r="K266">
        <v>20</v>
      </c>
      <c r="L266">
        <v>14</v>
      </c>
      <c r="M266" t="s">
        <v>19</v>
      </c>
      <c r="N266">
        <f t="shared" si="8"/>
        <v>11.95</v>
      </c>
      <c r="O266" t="b">
        <f t="shared" si="9"/>
        <v>1</v>
      </c>
    </row>
    <row r="267" spans="1:15">
      <c r="A267" t="s">
        <v>424</v>
      </c>
      <c r="B267" s="2">
        <v>46190</v>
      </c>
      <c r="C267" t="s">
        <v>425</v>
      </c>
      <c r="D267" t="s">
        <v>15</v>
      </c>
      <c r="E267" t="s">
        <v>103</v>
      </c>
      <c r="F267" t="s">
        <v>23</v>
      </c>
      <c r="G267">
        <v>1</v>
      </c>
      <c r="H267" s="3">
        <v>3.25</v>
      </c>
      <c r="I267" s="3">
        <v>3.25</v>
      </c>
      <c r="J267" t="s">
        <v>18</v>
      </c>
      <c r="K267">
        <v>13</v>
      </c>
      <c r="L267">
        <v>17</v>
      </c>
      <c r="M267" t="s">
        <v>19</v>
      </c>
      <c r="N267">
        <f t="shared" si="8"/>
        <v>3.25</v>
      </c>
      <c r="O267" t="b">
        <f t="shared" si="9"/>
        <v>1</v>
      </c>
    </row>
    <row r="268" spans="1:15">
      <c r="A268" t="s">
        <v>426</v>
      </c>
      <c r="B268" s="2">
        <v>46217</v>
      </c>
      <c r="C268" t="s">
        <v>25</v>
      </c>
      <c r="D268" t="s">
        <v>15</v>
      </c>
      <c r="E268" t="s">
        <v>16</v>
      </c>
      <c r="F268" t="s">
        <v>17</v>
      </c>
      <c r="G268">
        <v>2</v>
      </c>
      <c r="H268" s="3">
        <v>9.9499999999999993</v>
      </c>
      <c r="I268" s="3">
        <v>19.899999999999999</v>
      </c>
      <c r="J268" t="s">
        <v>18</v>
      </c>
      <c r="K268">
        <v>26</v>
      </c>
      <c r="L268">
        <v>15</v>
      </c>
      <c r="M268" t="s">
        <v>19</v>
      </c>
      <c r="N268">
        <f t="shared" si="8"/>
        <v>19.899999999999999</v>
      </c>
      <c r="O268" t="b">
        <f t="shared" si="9"/>
        <v>1</v>
      </c>
    </row>
    <row r="269" spans="1:15">
      <c r="A269" t="s">
        <v>427</v>
      </c>
      <c r="B269" s="2">
        <v>46222</v>
      </c>
      <c r="C269" t="s">
        <v>322</v>
      </c>
      <c r="D269" t="s">
        <v>15</v>
      </c>
      <c r="E269" t="s">
        <v>26</v>
      </c>
      <c r="F269" t="s">
        <v>17</v>
      </c>
      <c r="G269">
        <v>3</v>
      </c>
      <c r="H269" s="3">
        <v>11.5</v>
      </c>
      <c r="I269" s="3">
        <v>34.5</v>
      </c>
      <c r="J269" t="s">
        <v>32</v>
      </c>
      <c r="K269">
        <v>12</v>
      </c>
      <c r="L269">
        <v>21</v>
      </c>
      <c r="M269" t="s">
        <v>19</v>
      </c>
      <c r="N269">
        <f t="shared" si="8"/>
        <v>34.5</v>
      </c>
      <c r="O269" t="b">
        <f t="shared" si="9"/>
        <v>1</v>
      </c>
    </row>
    <row r="270" spans="1:15">
      <c r="A270" t="s">
        <v>428</v>
      </c>
      <c r="B270" s="2">
        <v>46075</v>
      </c>
      <c r="C270" t="s">
        <v>429</v>
      </c>
      <c r="D270" t="s">
        <v>15</v>
      </c>
      <c r="E270" t="s">
        <v>96</v>
      </c>
      <c r="F270" t="s">
        <v>47</v>
      </c>
      <c r="G270">
        <v>1</v>
      </c>
      <c r="H270" s="3">
        <v>5.75</v>
      </c>
      <c r="I270" s="3">
        <v>5.75</v>
      </c>
      <c r="J270" t="s">
        <v>18</v>
      </c>
      <c r="K270">
        <v>12</v>
      </c>
      <c r="L270">
        <v>14</v>
      </c>
      <c r="M270" t="s">
        <v>19</v>
      </c>
      <c r="N270">
        <f t="shared" si="8"/>
        <v>5.75</v>
      </c>
      <c r="O270" t="b">
        <f t="shared" si="9"/>
        <v>1</v>
      </c>
    </row>
    <row r="271" spans="1:15">
      <c r="A271" t="s">
        <v>430</v>
      </c>
      <c r="B271" s="2">
        <v>46189</v>
      </c>
      <c r="C271" t="s">
        <v>431</v>
      </c>
      <c r="D271" t="s">
        <v>35</v>
      </c>
      <c r="E271" t="s">
        <v>78</v>
      </c>
      <c r="F271" t="s">
        <v>47</v>
      </c>
      <c r="G271">
        <v>1</v>
      </c>
      <c r="H271" s="3">
        <v>7.25</v>
      </c>
      <c r="I271" s="3">
        <v>7.25</v>
      </c>
      <c r="J271" t="s">
        <v>53</v>
      </c>
      <c r="K271">
        <v>24</v>
      </c>
      <c r="L271">
        <v>20</v>
      </c>
      <c r="M271" t="s">
        <v>19</v>
      </c>
      <c r="N271">
        <f t="shared" si="8"/>
        <v>7.25</v>
      </c>
      <c r="O271" t="b">
        <f t="shared" si="9"/>
        <v>1</v>
      </c>
    </row>
    <row r="272" spans="1:15">
      <c r="A272" t="s">
        <v>432</v>
      </c>
      <c r="B272" s="2">
        <v>46147</v>
      </c>
      <c r="C272" t="s">
        <v>110</v>
      </c>
      <c r="D272" t="s">
        <v>35</v>
      </c>
      <c r="E272" t="s">
        <v>46</v>
      </c>
      <c r="F272" t="s">
        <v>47</v>
      </c>
      <c r="G272">
        <v>1</v>
      </c>
      <c r="H272" s="3">
        <v>6.95</v>
      </c>
      <c r="I272" s="3">
        <v>6.95</v>
      </c>
      <c r="J272" t="s">
        <v>27</v>
      </c>
      <c r="K272">
        <v>3</v>
      </c>
      <c r="L272">
        <v>17</v>
      </c>
      <c r="M272" t="s">
        <v>19</v>
      </c>
      <c r="N272">
        <f t="shared" si="8"/>
        <v>6.95</v>
      </c>
      <c r="O272" t="b">
        <f t="shared" si="9"/>
        <v>1</v>
      </c>
    </row>
    <row r="273" spans="1:15">
      <c r="A273" t="s">
        <v>433</v>
      </c>
      <c r="B273" s="2">
        <v>46164</v>
      </c>
      <c r="C273" t="s">
        <v>34</v>
      </c>
      <c r="D273" t="s">
        <v>35</v>
      </c>
      <c r="E273" t="s">
        <v>30</v>
      </c>
      <c r="F273" t="s">
        <v>31</v>
      </c>
      <c r="G273">
        <v>1</v>
      </c>
      <c r="H273" s="3">
        <v>8.5</v>
      </c>
      <c r="I273" s="3">
        <v>8.5</v>
      </c>
      <c r="J273" t="s">
        <v>18</v>
      </c>
      <c r="K273">
        <v>24</v>
      </c>
      <c r="L273">
        <v>26</v>
      </c>
      <c r="M273" t="s">
        <v>19</v>
      </c>
      <c r="N273">
        <f t="shared" si="8"/>
        <v>8.5</v>
      </c>
      <c r="O273" t="b">
        <f t="shared" si="9"/>
        <v>1</v>
      </c>
    </row>
    <row r="274" spans="1:15">
      <c r="A274" t="s">
        <v>434</v>
      </c>
      <c r="B274" s="2">
        <v>46123</v>
      </c>
      <c r="C274" t="s">
        <v>158</v>
      </c>
      <c r="D274" t="s">
        <v>35</v>
      </c>
      <c r="E274" t="s">
        <v>26</v>
      </c>
      <c r="F274" t="s">
        <v>17</v>
      </c>
      <c r="G274">
        <v>3</v>
      </c>
      <c r="H274" s="3">
        <v>11.5</v>
      </c>
      <c r="I274" s="3">
        <v>34.5</v>
      </c>
      <c r="J274" t="s">
        <v>27</v>
      </c>
      <c r="K274">
        <v>28</v>
      </c>
      <c r="L274">
        <v>23</v>
      </c>
      <c r="M274" t="s">
        <v>19</v>
      </c>
      <c r="N274">
        <f t="shared" si="8"/>
        <v>34.5</v>
      </c>
      <c r="O274" t="b">
        <f t="shared" si="9"/>
        <v>1</v>
      </c>
    </row>
    <row r="275" spans="1:15">
      <c r="A275" t="s">
        <v>435</v>
      </c>
      <c r="B275" s="2">
        <v>46194</v>
      </c>
      <c r="C275" t="s">
        <v>134</v>
      </c>
      <c r="D275" t="s">
        <v>35</v>
      </c>
      <c r="E275" t="s">
        <v>50</v>
      </c>
      <c r="F275" t="s">
        <v>17</v>
      </c>
      <c r="G275">
        <v>1</v>
      </c>
      <c r="H275" s="3">
        <v>14.5</v>
      </c>
      <c r="I275" s="3">
        <v>14.5</v>
      </c>
      <c r="J275" t="s">
        <v>27</v>
      </c>
      <c r="K275">
        <v>23</v>
      </c>
      <c r="L275">
        <v>15</v>
      </c>
      <c r="M275" t="s">
        <v>19</v>
      </c>
      <c r="N275">
        <f t="shared" si="8"/>
        <v>14.5</v>
      </c>
      <c r="O275" t="b">
        <f t="shared" si="9"/>
        <v>1</v>
      </c>
    </row>
    <row r="276" spans="1:15">
      <c r="A276" t="s">
        <v>436</v>
      </c>
      <c r="B276" s="2">
        <v>46183</v>
      </c>
      <c r="C276" t="s">
        <v>77</v>
      </c>
      <c r="D276" t="s">
        <v>15</v>
      </c>
      <c r="E276" t="s">
        <v>126</v>
      </c>
      <c r="F276" t="s">
        <v>31</v>
      </c>
      <c r="G276">
        <v>2</v>
      </c>
      <c r="H276" s="3">
        <v>7.95</v>
      </c>
      <c r="I276" s="3">
        <v>15.9</v>
      </c>
      <c r="J276" t="s">
        <v>27</v>
      </c>
      <c r="K276">
        <v>8</v>
      </c>
      <c r="L276">
        <v>8</v>
      </c>
      <c r="M276" t="s">
        <v>19</v>
      </c>
      <c r="N276">
        <f t="shared" si="8"/>
        <v>15.9</v>
      </c>
      <c r="O276" t="b">
        <f t="shared" si="9"/>
        <v>1</v>
      </c>
    </row>
    <row r="277" spans="1:15">
      <c r="A277" t="s">
        <v>437</v>
      </c>
      <c r="B277" s="2">
        <v>46166</v>
      </c>
      <c r="C277" t="s">
        <v>180</v>
      </c>
      <c r="D277" t="s">
        <v>35</v>
      </c>
      <c r="E277" t="s">
        <v>59</v>
      </c>
      <c r="F277" t="s">
        <v>17</v>
      </c>
      <c r="G277">
        <v>3</v>
      </c>
      <c r="H277" s="3">
        <v>11.95</v>
      </c>
      <c r="I277" s="3">
        <v>35.85</v>
      </c>
      <c r="J277" t="s">
        <v>53</v>
      </c>
      <c r="K277">
        <v>19</v>
      </c>
      <c r="L277">
        <v>20</v>
      </c>
      <c r="M277" t="s">
        <v>19</v>
      </c>
      <c r="N277">
        <f t="shared" si="8"/>
        <v>35.849999999999994</v>
      </c>
      <c r="O277" t="b">
        <f t="shared" si="9"/>
        <v>1</v>
      </c>
    </row>
    <row r="278" spans="1:15">
      <c r="A278" t="s">
        <v>438</v>
      </c>
      <c r="B278" s="2">
        <v>46115</v>
      </c>
      <c r="C278" t="s">
        <v>191</v>
      </c>
      <c r="D278" t="s">
        <v>35</v>
      </c>
      <c r="E278" t="s">
        <v>96</v>
      </c>
      <c r="F278" t="s">
        <v>47</v>
      </c>
      <c r="G278">
        <v>3</v>
      </c>
      <c r="H278" s="3">
        <v>5.75</v>
      </c>
      <c r="I278" s="3">
        <v>17.25</v>
      </c>
      <c r="J278" t="s">
        <v>27</v>
      </c>
      <c r="K278">
        <v>23</v>
      </c>
      <c r="L278">
        <v>15</v>
      </c>
      <c r="M278" t="s">
        <v>19</v>
      </c>
      <c r="N278">
        <f t="shared" si="8"/>
        <v>17.25</v>
      </c>
      <c r="O278" t="b">
        <f t="shared" si="9"/>
        <v>1</v>
      </c>
    </row>
    <row r="279" spans="1:15">
      <c r="A279" t="s">
        <v>439</v>
      </c>
      <c r="B279" s="2">
        <v>46232</v>
      </c>
      <c r="C279" t="s">
        <v>110</v>
      </c>
      <c r="D279" t="s">
        <v>35</v>
      </c>
      <c r="E279" t="s">
        <v>126</v>
      </c>
      <c r="F279" t="s">
        <v>31</v>
      </c>
      <c r="G279">
        <v>1</v>
      </c>
      <c r="H279" s="3">
        <v>7.95</v>
      </c>
      <c r="I279" s="3">
        <v>7.95</v>
      </c>
      <c r="J279" t="s">
        <v>18</v>
      </c>
      <c r="K279">
        <v>5</v>
      </c>
      <c r="L279">
        <v>21</v>
      </c>
      <c r="M279" t="s">
        <v>19</v>
      </c>
      <c r="N279">
        <f t="shared" si="8"/>
        <v>7.95</v>
      </c>
      <c r="O279" t="b">
        <f t="shared" si="9"/>
        <v>1</v>
      </c>
    </row>
    <row r="280" spans="1:15">
      <c r="A280" t="s">
        <v>440</v>
      </c>
      <c r="B280" s="2">
        <v>46216</v>
      </c>
      <c r="C280" t="s">
        <v>275</v>
      </c>
      <c r="D280" t="s">
        <v>15</v>
      </c>
      <c r="E280" t="s">
        <v>121</v>
      </c>
      <c r="F280" t="s">
        <v>23</v>
      </c>
      <c r="G280">
        <v>1</v>
      </c>
      <c r="H280" s="3">
        <v>6.5</v>
      </c>
      <c r="I280" s="3">
        <v>6.5</v>
      </c>
      <c r="J280" t="s">
        <v>18</v>
      </c>
      <c r="K280">
        <v>14</v>
      </c>
      <c r="L280">
        <v>19</v>
      </c>
      <c r="M280" t="s">
        <v>19</v>
      </c>
      <c r="N280">
        <f t="shared" si="8"/>
        <v>6.5</v>
      </c>
      <c r="O280" t="b">
        <f t="shared" si="9"/>
        <v>1</v>
      </c>
    </row>
    <row r="281" spans="1:15">
      <c r="A281" t="s">
        <v>441</v>
      </c>
      <c r="B281" s="2">
        <v>46207</v>
      </c>
      <c r="C281" t="s">
        <v>193</v>
      </c>
      <c r="D281" t="s">
        <v>35</v>
      </c>
      <c r="E281" t="s">
        <v>39</v>
      </c>
      <c r="F281" t="s">
        <v>17</v>
      </c>
      <c r="G281">
        <v>1</v>
      </c>
      <c r="H281" s="3">
        <v>12.95</v>
      </c>
      <c r="I281" s="3">
        <v>12.95</v>
      </c>
      <c r="J281" t="s">
        <v>18</v>
      </c>
      <c r="K281">
        <v>22</v>
      </c>
      <c r="L281">
        <v>14</v>
      </c>
      <c r="M281" t="s">
        <v>19</v>
      </c>
      <c r="N281">
        <f t="shared" si="8"/>
        <v>12.95</v>
      </c>
      <c r="O281" t="b">
        <f t="shared" si="9"/>
        <v>1</v>
      </c>
    </row>
    <row r="282" spans="1:15">
      <c r="A282" t="s">
        <v>442</v>
      </c>
      <c r="B282" s="2">
        <v>46108</v>
      </c>
      <c r="C282" t="s">
        <v>182</v>
      </c>
      <c r="D282" t="s">
        <v>35</v>
      </c>
      <c r="E282" t="s">
        <v>46</v>
      </c>
      <c r="F282" t="s">
        <v>47</v>
      </c>
      <c r="G282">
        <v>3</v>
      </c>
      <c r="H282" s="3">
        <v>6.95</v>
      </c>
      <c r="I282" s="3">
        <v>20.85</v>
      </c>
      <c r="J282" t="s">
        <v>27</v>
      </c>
      <c r="K282">
        <v>1</v>
      </c>
      <c r="L282">
        <v>26</v>
      </c>
      <c r="M282" t="s">
        <v>19</v>
      </c>
      <c r="N282">
        <f t="shared" si="8"/>
        <v>20.85</v>
      </c>
      <c r="O282" t="b">
        <f t="shared" si="9"/>
        <v>1</v>
      </c>
    </row>
    <row r="283" spans="1:15">
      <c r="A283" t="s">
        <v>443</v>
      </c>
      <c r="B283" s="2">
        <v>46136</v>
      </c>
      <c r="C283" t="s">
        <v>254</v>
      </c>
      <c r="D283" t="s">
        <v>35</v>
      </c>
      <c r="E283" t="s">
        <v>121</v>
      </c>
      <c r="F283" t="s">
        <v>23</v>
      </c>
      <c r="G283">
        <v>2</v>
      </c>
      <c r="H283" s="3">
        <v>6.5</v>
      </c>
      <c r="I283" s="3">
        <v>13</v>
      </c>
      <c r="J283" t="s">
        <v>18</v>
      </c>
      <c r="K283">
        <v>15</v>
      </c>
      <c r="L283">
        <v>11</v>
      </c>
      <c r="M283" t="s">
        <v>19</v>
      </c>
      <c r="N283">
        <f t="shared" si="8"/>
        <v>13</v>
      </c>
      <c r="O283" t="b">
        <f t="shared" si="9"/>
        <v>1</v>
      </c>
    </row>
    <row r="284" spans="1:15">
      <c r="A284" t="s">
        <v>444</v>
      </c>
      <c r="B284" s="2">
        <v>46260</v>
      </c>
      <c r="C284" t="s">
        <v>69</v>
      </c>
      <c r="D284" t="s">
        <v>35</v>
      </c>
      <c r="E284" t="s">
        <v>22</v>
      </c>
      <c r="F284" t="s">
        <v>23</v>
      </c>
      <c r="G284">
        <v>1</v>
      </c>
      <c r="H284" s="3">
        <v>3.1</v>
      </c>
      <c r="I284" s="3">
        <v>3.1</v>
      </c>
      <c r="J284" t="s">
        <v>53</v>
      </c>
      <c r="K284">
        <v>30</v>
      </c>
      <c r="L284">
        <v>8</v>
      </c>
      <c r="M284" t="s">
        <v>19</v>
      </c>
      <c r="N284">
        <f t="shared" si="8"/>
        <v>3.1</v>
      </c>
      <c r="O284" t="b">
        <f t="shared" si="9"/>
        <v>1</v>
      </c>
    </row>
    <row r="285" spans="1:15">
      <c r="A285" t="s">
        <v>445</v>
      </c>
      <c r="B285" s="2">
        <v>46082</v>
      </c>
      <c r="C285" t="s">
        <v>112</v>
      </c>
      <c r="D285" t="s">
        <v>35</v>
      </c>
      <c r="E285" t="s">
        <v>30</v>
      </c>
      <c r="F285" t="s">
        <v>31</v>
      </c>
      <c r="G285">
        <v>1</v>
      </c>
      <c r="H285" s="3">
        <v>8.5</v>
      </c>
      <c r="I285" s="3">
        <v>8.5</v>
      </c>
      <c r="J285" t="s">
        <v>27</v>
      </c>
      <c r="K285">
        <v>26</v>
      </c>
      <c r="L285">
        <v>20</v>
      </c>
      <c r="M285" t="s">
        <v>19</v>
      </c>
      <c r="N285">
        <f t="shared" si="8"/>
        <v>8.5</v>
      </c>
      <c r="O285" t="b">
        <f t="shared" si="9"/>
        <v>1</v>
      </c>
    </row>
    <row r="286" spans="1:15">
      <c r="A286" t="s">
        <v>446</v>
      </c>
      <c r="B286" s="2">
        <v>46270</v>
      </c>
      <c r="C286" t="s">
        <v>222</v>
      </c>
      <c r="D286" t="s">
        <v>15</v>
      </c>
      <c r="E286" t="s">
        <v>96</v>
      </c>
      <c r="F286" t="s">
        <v>47</v>
      </c>
      <c r="G286">
        <v>1</v>
      </c>
      <c r="H286" s="3">
        <v>5.75</v>
      </c>
      <c r="I286" s="3">
        <v>5.75</v>
      </c>
      <c r="J286" t="s">
        <v>32</v>
      </c>
      <c r="K286">
        <v>1</v>
      </c>
      <c r="L286">
        <v>25</v>
      </c>
      <c r="M286" t="s">
        <v>19</v>
      </c>
      <c r="N286">
        <f t="shared" si="8"/>
        <v>5.75</v>
      </c>
      <c r="O286" t="b">
        <f t="shared" si="9"/>
        <v>1</v>
      </c>
    </row>
    <row r="287" spans="1:15">
      <c r="A287" t="s">
        <v>447</v>
      </c>
      <c r="B287" s="2">
        <v>46078</v>
      </c>
      <c r="C287" t="s">
        <v>448</v>
      </c>
      <c r="D287" t="s">
        <v>35</v>
      </c>
      <c r="E287" t="s">
        <v>16</v>
      </c>
      <c r="F287" t="s">
        <v>17</v>
      </c>
      <c r="G287">
        <v>1</v>
      </c>
      <c r="H287" s="3">
        <v>9.9499999999999993</v>
      </c>
      <c r="I287" s="3">
        <v>9.9499999999999993</v>
      </c>
      <c r="J287" t="s">
        <v>27</v>
      </c>
      <c r="K287">
        <v>6</v>
      </c>
      <c r="L287">
        <v>22</v>
      </c>
      <c r="M287" t="s">
        <v>19</v>
      </c>
      <c r="N287">
        <f t="shared" si="8"/>
        <v>9.9499999999999993</v>
      </c>
      <c r="O287" t="b">
        <f t="shared" si="9"/>
        <v>1</v>
      </c>
    </row>
    <row r="288" spans="1:15">
      <c r="A288" t="s">
        <v>449</v>
      </c>
      <c r="B288" s="2">
        <v>46241</v>
      </c>
      <c r="C288" t="s">
        <v>91</v>
      </c>
      <c r="D288" t="s">
        <v>35</v>
      </c>
      <c r="E288" t="s">
        <v>106</v>
      </c>
      <c r="F288" t="s">
        <v>17</v>
      </c>
      <c r="G288">
        <v>1</v>
      </c>
      <c r="H288" s="3">
        <v>15.95</v>
      </c>
      <c r="I288" s="3">
        <v>15.95</v>
      </c>
      <c r="J288" t="s">
        <v>53</v>
      </c>
      <c r="K288">
        <v>20</v>
      </c>
      <c r="L288">
        <v>18</v>
      </c>
      <c r="M288" t="s">
        <v>19</v>
      </c>
      <c r="N288">
        <f t="shared" si="8"/>
        <v>15.95</v>
      </c>
      <c r="O288" t="b">
        <f t="shared" si="9"/>
        <v>1</v>
      </c>
    </row>
    <row r="289" spans="1:15">
      <c r="A289" t="s">
        <v>450</v>
      </c>
      <c r="B289" s="2">
        <v>46253</v>
      </c>
      <c r="C289" t="s">
        <v>66</v>
      </c>
      <c r="D289" t="s">
        <v>35</v>
      </c>
      <c r="E289" t="s">
        <v>70</v>
      </c>
      <c r="F289" t="s">
        <v>17</v>
      </c>
      <c r="G289">
        <v>1</v>
      </c>
      <c r="H289" s="3">
        <v>12.5</v>
      </c>
      <c r="I289" s="3">
        <v>0</v>
      </c>
      <c r="J289" t="s">
        <v>32</v>
      </c>
      <c r="K289">
        <v>23</v>
      </c>
      <c r="L289">
        <v>20</v>
      </c>
      <c r="M289" t="s">
        <v>152</v>
      </c>
      <c r="N289">
        <f t="shared" si="8"/>
        <v>12.5</v>
      </c>
      <c r="O289" t="b">
        <f t="shared" si="9"/>
        <v>1</v>
      </c>
    </row>
    <row r="290" spans="1:15">
      <c r="A290" t="s">
        <v>451</v>
      </c>
      <c r="B290" s="2">
        <v>46055</v>
      </c>
      <c r="C290" t="s">
        <v>89</v>
      </c>
      <c r="D290" t="s">
        <v>35</v>
      </c>
      <c r="E290" t="s">
        <v>30</v>
      </c>
      <c r="F290" t="s">
        <v>31</v>
      </c>
      <c r="G290">
        <v>1</v>
      </c>
      <c r="H290" s="3">
        <v>8.5</v>
      </c>
      <c r="I290" s="3">
        <v>8.5</v>
      </c>
      <c r="J290" t="s">
        <v>18</v>
      </c>
      <c r="K290">
        <v>16</v>
      </c>
      <c r="L290">
        <v>26</v>
      </c>
      <c r="M290" t="s">
        <v>19</v>
      </c>
      <c r="N290">
        <f t="shared" si="8"/>
        <v>8.5</v>
      </c>
      <c r="O290" t="b">
        <f t="shared" si="9"/>
        <v>1</v>
      </c>
    </row>
    <row r="291" spans="1:15">
      <c r="A291" t="s">
        <v>452</v>
      </c>
      <c r="B291" s="2">
        <v>46183</v>
      </c>
      <c r="C291" t="s">
        <v>145</v>
      </c>
      <c r="D291" t="s">
        <v>35</v>
      </c>
      <c r="E291" t="s">
        <v>121</v>
      </c>
      <c r="F291" t="s">
        <v>23</v>
      </c>
      <c r="G291">
        <v>1</v>
      </c>
      <c r="H291" s="3">
        <v>6.5</v>
      </c>
      <c r="I291" s="3">
        <v>6.5</v>
      </c>
      <c r="J291" t="s">
        <v>18</v>
      </c>
      <c r="K291">
        <v>28</v>
      </c>
      <c r="L291">
        <v>18</v>
      </c>
      <c r="M291" t="s">
        <v>19</v>
      </c>
      <c r="N291">
        <f t="shared" si="8"/>
        <v>6.5</v>
      </c>
      <c r="O291" t="b">
        <f t="shared" si="9"/>
        <v>1</v>
      </c>
    </row>
    <row r="292" spans="1:15">
      <c r="A292" t="s">
        <v>453</v>
      </c>
      <c r="B292" s="2">
        <v>46111</v>
      </c>
      <c r="C292" t="s">
        <v>105</v>
      </c>
      <c r="D292" t="s">
        <v>35</v>
      </c>
      <c r="E292" t="s">
        <v>56</v>
      </c>
      <c r="F292" t="s">
        <v>23</v>
      </c>
      <c r="G292">
        <v>2</v>
      </c>
      <c r="H292" s="3">
        <v>3.75</v>
      </c>
      <c r="I292" s="3">
        <v>7.5</v>
      </c>
      <c r="J292" t="s">
        <v>27</v>
      </c>
      <c r="K292">
        <v>10</v>
      </c>
      <c r="L292">
        <v>15</v>
      </c>
      <c r="M292" t="s">
        <v>19</v>
      </c>
      <c r="N292">
        <f t="shared" si="8"/>
        <v>7.5</v>
      </c>
      <c r="O292" t="b">
        <f t="shared" si="9"/>
        <v>1</v>
      </c>
    </row>
    <row r="293" spans="1:15">
      <c r="A293" t="s">
        <v>454</v>
      </c>
      <c r="B293" s="2">
        <v>46214</v>
      </c>
      <c r="C293" t="s">
        <v>145</v>
      </c>
      <c r="D293" t="s">
        <v>35</v>
      </c>
      <c r="E293" t="s">
        <v>78</v>
      </c>
      <c r="F293" t="s">
        <v>47</v>
      </c>
      <c r="G293">
        <v>2</v>
      </c>
      <c r="H293" s="3">
        <v>7.25</v>
      </c>
      <c r="I293" s="3">
        <v>14.5</v>
      </c>
      <c r="J293" t="s">
        <v>18</v>
      </c>
      <c r="K293">
        <v>13</v>
      </c>
      <c r="L293">
        <v>22</v>
      </c>
      <c r="M293" t="s">
        <v>19</v>
      </c>
      <c r="N293">
        <f t="shared" si="8"/>
        <v>14.5</v>
      </c>
      <c r="O293" t="b">
        <f t="shared" si="9"/>
        <v>1</v>
      </c>
    </row>
    <row r="294" spans="1:15">
      <c r="A294" t="s">
        <v>455</v>
      </c>
      <c r="B294" s="2">
        <v>46272</v>
      </c>
      <c r="C294" t="s">
        <v>230</v>
      </c>
      <c r="D294" t="s">
        <v>35</v>
      </c>
      <c r="E294" t="s">
        <v>106</v>
      </c>
      <c r="F294" t="s">
        <v>17</v>
      </c>
      <c r="G294">
        <v>1</v>
      </c>
      <c r="H294" s="3">
        <v>15.95</v>
      </c>
      <c r="I294" s="3">
        <v>15.95</v>
      </c>
      <c r="J294" t="s">
        <v>18</v>
      </c>
      <c r="K294">
        <v>27</v>
      </c>
      <c r="L294">
        <v>19</v>
      </c>
      <c r="M294" t="s">
        <v>19</v>
      </c>
      <c r="N294">
        <f t="shared" si="8"/>
        <v>15.95</v>
      </c>
      <c r="O294" t="b">
        <f t="shared" si="9"/>
        <v>1</v>
      </c>
    </row>
    <row r="295" spans="1:15">
      <c r="A295" t="s">
        <v>456</v>
      </c>
      <c r="B295" s="2">
        <v>46050</v>
      </c>
      <c r="C295" t="s">
        <v>381</v>
      </c>
      <c r="D295" t="s">
        <v>35</v>
      </c>
      <c r="E295" t="s">
        <v>50</v>
      </c>
      <c r="F295" t="s">
        <v>17</v>
      </c>
      <c r="G295">
        <v>1</v>
      </c>
      <c r="H295" s="3">
        <v>14.5</v>
      </c>
      <c r="I295" s="3">
        <v>14.5</v>
      </c>
      <c r="J295" t="s">
        <v>18</v>
      </c>
      <c r="K295">
        <v>18</v>
      </c>
      <c r="L295">
        <v>23</v>
      </c>
      <c r="M295" t="s">
        <v>19</v>
      </c>
      <c r="N295">
        <f t="shared" si="8"/>
        <v>14.5</v>
      </c>
      <c r="O295" t="b">
        <f t="shared" si="9"/>
        <v>1</v>
      </c>
    </row>
    <row r="296" spans="1:15">
      <c r="A296" t="s">
        <v>457</v>
      </c>
      <c r="B296" s="2">
        <v>46276</v>
      </c>
      <c r="C296" t="s">
        <v>212</v>
      </c>
      <c r="D296" t="s">
        <v>35</v>
      </c>
      <c r="E296" t="s">
        <v>96</v>
      </c>
      <c r="F296" t="s">
        <v>47</v>
      </c>
      <c r="G296">
        <v>1</v>
      </c>
      <c r="H296" s="3">
        <v>5.75</v>
      </c>
      <c r="I296" s="3">
        <v>5.75</v>
      </c>
      <c r="J296" t="s">
        <v>27</v>
      </c>
      <c r="K296">
        <v>8</v>
      </c>
      <c r="L296">
        <v>10</v>
      </c>
      <c r="M296" t="s">
        <v>19</v>
      </c>
      <c r="N296">
        <f t="shared" si="8"/>
        <v>5.75</v>
      </c>
      <c r="O296" t="b">
        <f t="shared" si="9"/>
        <v>1</v>
      </c>
    </row>
    <row r="297" spans="1:15">
      <c r="A297" t="s">
        <v>458</v>
      </c>
      <c r="B297" s="2">
        <v>46163</v>
      </c>
      <c r="C297" t="s">
        <v>258</v>
      </c>
      <c r="D297" t="s">
        <v>15</v>
      </c>
      <c r="E297" t="s">
        <v>96</v>
      </c>
      <c r="F297" t="s">
        <v>47</v>
      </c>
      <c r="G297">
        <v>1</v>
      </c>
      <c r="H297" s="3">
        <v>5.75</v>
      </c>
      <c r="I297" s="3">
        <v>-5.75</v>
      </c>
      <c r="J297" t="s">
        <v>18</v>
      </c>
      <c r="K297">
        <v>25</v>
      </c>
      <c r="L297">
        <v>11</v>
      </c>
      <c r="M297" t="s">
        <v>62</v>
      </c>
      <c r="N297">
        <f t="shared" si="8"/>
        <v>5.75</v>
      </c>
      <c r="O297" t="b">
        <f t="shared" si="9"/>
        <v>1</v>
      </c>
    </row>
    <row r="298" spans="1:15">
      <c r="A298" t="s">
        <v>459</v>
      </c>
      <c r="B298" s="2">
        <v>46284</v>
      </c>
      <c r="C298" t="s">
        <v>460</v>
      </c>
      <c r="D298" t="s">
        <v>15</v>
      </c>
      <c r="E298" t="s">
        <v>36</v>
      </c>
      <c r="F298" t="s">
        <v>23</v>
      </c>
      <c r="G298">
        <v>2</v>
      </c>
      <c r="H298" s="3">
        <v>2.8</v>
      </c>
      <c r="I298" s="3">
        <v>5.6</v>
      </c>
      <c r="J298" t="s">
        <v>18</v>
      </c>
      <c r="K298">
        <v>25</v>
      </c>
      <c r="L298">
        <v>2</v>
      </c>
      <c r="M298" t="s">
        <v>19</v>
      </c>
      <c r="N298">
        <f t="shared" si="8"/>
        <v>5.6</v>
      </c>
      <c r="O298" t="b">
        <f t="shared" si="9"/>
        <v>1</v>
      </c>
    </row>
    <row r="299" spans="1:15">
      <c r="A299" t="s">
        <v>461</v>
      </c>
      <c r="B299" s="2">
        <v>46134</v>
      </c>
      <c r="C299" t="s">
        <v>314</v>
      </c>
      <c r="D299" t="s">
        <v>35</v>
      </c>
      <c r="E299" t="s">
        <v>16</v>
      </c>
      <c r="F299" t="s">
        <v>17</v>
      </c>
      <c r="G299">
        <v>1</v>
      </c>
      <c r="H299" s="3">
        <v>9.9499999999999993</v>
      </c>
      <c r="I299" s="3">
        <v>9.9499999999999993</v>
      </c>
      <c r="J299" t="s">
        <v>27</v>
      </c>
      <c r="K299">
        <v>15</v>
      </c>
      <c r="L299">
        <v>17</v>
      </c>
      <c r="M299" t="s">
        <v>19</v>
      </c>
      <c r="N299">
        <f t="shared" si="8"/>
        <v>9.9499999999999993</v>
      </c>
      <c r="O299" t="b">
        <f t="shared" si="9"/>
        <v>1</v>
      </c>
    </row>
    <row r="300" spans="1:15">
      <c r="A300" t="s">
        <v>462</v>
      </c>
      <c r="B300" s="2">
        <v>46067</v>
      </c>
      <c r="C300" t="s">
        <v>73</v>
      </c>
      <c r="D300" t="s">
        <v>35</v>
      </c>
      <c r="E300" t="s">
        <v>70</v>
      </c>
      <c r="F300" t="s">
        <v>17</v>
      </c>
      <c r="G300">
        <v>2</v>
      </c>
      <c r="H300" s="3">
        <v>12.5</v>
      </c>
      <c r="I300" s="3">
        <v>25</v>
      </c>
      <c r="J300" t="s">
        <v>18</v>
      </c>
      <c r="K300">
        <v>20</v>
      </c>
      <c r="L300">
        <v>15</v>
      </c>
      <c r="M300" t="s">
        <v>19</v>
      </c>
      <c r="N300">
        <f t="shared" si="8"/>
        <v>25</v>
      </c>
      <c r="O300" t="b">
        <f t="shared" si="9"/>
        <v>1</v>
      </c>
    </row>
    <row r="301" spans="1:15">
      <c r="A301" t="s">
        <v>463</v>
      </c>
      <c r="B301" s="2">
        <v>46107</v>
      </c>
      <c r="C301" t="s">
        <v>116</v>
      </c>
      <c r="D301" t="s">
        <v>35</v>
      </c>
      <c r="E301" t="s">
        <v>83</v>
      </c>
      <c r="F301" t="s">
        <v>17</v>
      </c>
      <c r="G301">
        <v>1</v>
      </c>
      <c r="H301" s="3">
        <v>13.5</v>
      </c>
      <c r="I301" s="3">
        <v>13.5</v>
      </c>
      <c r="J301" t="s">
        <v>18</v>
      </c>
      <c r="K301">
        <v>9</v>
      </c>
      <c r="L301">
        <v>8</v>
      </c>
      <c r="M301" t="s">
        <v>19</v>
      </c>
      <c r="N301">
        <f t="shared" si="8"/>
        <v>13.5</v>
      </c>
      <c r="O301" t="b">
        <f t="shared" si="9"/>
        <v>1</v>
      </c>
    </row>
    <row r="302" spans="1:15">
      <c r="A302" t="s">
        <v>464</v>
      </c>
      <c r="B302" s="2">
        <v>46109</v>
      </c>
      <c r="C302" t="s">
        <v>465</v>
      </c>
      <c r="D302" t="s">
        <v>15</v>
      </c>
      <c r="E302" t="s">
        <v>121</v>
      </c>
      <c r="F302" t="s">
        <v>23</v>
      </c>
      <c r="G302">
        <v>1</v>
      </c>
      <c r="H302" s="3">
        <v>6.5</v>
      </c>
      <c r="I302" s="3">
        <v>6.5</v>
      </c>
      <c r="J302" t="s">
        <v>27</v>
      </c>
      <c r="K302">
        <v>4</v>
      </c>
      <c r="L302">
        <v>18</v>
      </c>
      <c r="M302" t="s">
        <v>19</v>
      </c>
      <c r="N302">
        <f t="shared" si="8"/>
        <v>6.5</v>
      </c>
      <c r="O302" t="b">
        <f t="shared" si="9"/>
        <v>1</v>
      </c>
    </row>
    <row r="303" spans="1:15">
      <c r="A303" t="s">
        <v>466</v>
      </c>
      <c r="B303" s="2">
        <v>46233</v>
      </c>
      <c r="C303" t="s">
        <v>64</v>
      </c>
      <c r="D303" t="s">
        <v>35</v>
      </c>
      <c r="E303" t="s">
        <v>50</v>
      </c>
      <c r="F303" t="s">
        <v>17</v>
      </c>
      <c r="G303">
        <v>2</v>
      </c>
      <c r="H303" s="3">
        <v>14.5</v>
      </c>
      <c r="I303" s="3">
        <v>29</v>
      </c>
      <c r="J303" t="s">
        <v>27</v>
      </c>
      <c r="K303">
        <v>8</v>
      </c>
      <c r="L303">
        <v>19</v>
      </c>
      <c r="M303" t="s">
        <v>19</v>
      </c>
      <c r="N303">
        <f t="shared" si="8"/>
        <v>29</v>
      </c>
      <c r="O303" t="b">
        <f t="shared" si="9"/>
        <v>1</v>
      </c>
    </row>
    <row r="304" spans="1:15">
      <c r="A304" t="s">
        <v>467</v>
      </c>
      <c r="B304" s="2">
        <v>46187</v>
      </c>
      <c r="C304" t="s">
        <v>55</v>
      </c>
      <c r="D304" t="s">
        <v>35</v>
      </c>
      <c r="E304" t="s">
        <v>103</v>
      </c>
      <c r="F304" t="s">
        <v>23</v>
      </c>
      <c r="G304">
        <v>1</v>
      </c>
      <c r="H304" s="3">
        <v>3.25</v>
      </c>
      <c r="I304" s="3">
        <v>3.25</v>
      </c>
      <c r="J304" t="s">
        <v>27</v>
      </c>
      <c r="K304">
        <v>15</v>
      </c>
      <c r="L304">
        <v>12</v>
      </c>
      <c r="M304" t="s">
        <v>19</v>
      </c>
      <c r="N304">
        <f t="shared" si="8"/>
        <v>3.25</v>
      </c>
      <c r="O304" t="b">
        <f t="shared" si="9"/>
        <v>1</v>
      </c>
    </row>
    <row r="305" spans="1:15">
      <c r="A305" t="s">
        <v>468</v>
      </c>
      <c r="B305" s="2">
        <v>46070</v>
      </c>
      <c r="C305" t="s">
        <v>105</v>
      </c>
      <c r="D305" t="s">
        <v>35</v>
      </c>
      <c r="E305" t="s">
        <v>30</v>
      </c>
      <c r="F305" t="s">
        <v>31</v>
      </c>
      <c r="G305">
        <v>1</v>
      </c>
      <c r="H305" s="3">
        <v>8.5</v>
      </c>
      <c r="I305" s="3">
        <v>8.5</v>
      </c>
      <c r="J305" t="s">
        <v>18</v>
      </c>
      <c r="K305">
        <v>11</v>
      </c>
      <c r="L305">
        <v>26</v>
      </c>
      <c r="M305" t="s">
        <v>19</v>
      </c>
      <c r="N305">
        <f t="shared" si="8"/>
        <v>8.5</v>
      </c>
      <c r="O305" t="b">
        <f t="shared" si="9"/>
        <v>1</v>
      </c>
    </row>
    <row r="306" spans="1:15">
      <c r="A306" t="s">
        <v>469</v>
      </c>
      <c r="B306" s="2">
        <v>46070</v>
      </c>
      <c r="C306" t="s">
        <v>137</v>
      </c>
      <c r="D306" t="s">
        <v>35</v>
      </c>
      <c r="E306" t="s">
        <v>30</v>
      </c>
      <c r="F306" t="s">
        <v>31</v>
      </c>
      <c r="G306">
        <v>2</v>
      </c>
      <c r="H306" s="3">
        <v>8.5</v>
      </c>
      <c r="I306" s="3">
        <v>17</v>
      </c>
      <c r="J306" t="s">
        <v>27</v>
      </c>
      <c r="K306">
        <v>27</v>
      </c>
      <c r="L306">
        <v>7</v>
      </c>
      <c r="M306" t="s">
        <v>19</v>
      </c>
      <c r="N306">
        <f t="shared" si="8"/>
        <v>17</v>
      </c>
      <c r="O306" t="b">
        <f t="shared" si="9"/>
        <v>1</v>
      </c>
    </row>
    <row r="307" spans="1:15">
      <c r="A307" t="s">
        <v>470</v>
      </c>
      <c r="B307" s="2">
        <v>46160</v>
      </c>
      <c r="C307" t="s">
        <v>471</v>
      </c>
      <c r="D307" t="s">
        <v>15</v>
      </c>
      <c r="E307" t="s">
        <v>36</v>
      </c>
      <c r="F307" t="s">
        <v>23</v>
      </c>
      <c r="G307">
        <v>1</v>
      </c>
      <c r="H307" s="3">
        <v>2.8</v>
      </c>
      <c r="I307" s="3">
        <v>2.8</v>
      </c>
      <c r="J307" t="s">
        <v>18</v>
      </c>
      <c r="K307">
        <v>28</v>
      </c>
      <c r="L307">
        <v>18</v>
      </c>
      <c r="M307" t="s">
        <v>19</v>
      </c>
      <c r="N307">
        <f t="shared" si="8"/>
        <v>2.8</v>
      </c>
      <c r="O307" t="b">
        <f t="shared" si="9"/>
        <v>1</v>
      </c>
    </row>
    <row r="308" spans="1:15">
      <c r="A308" t="s">
        <v>472</v>
      </c>
      <c r="B308" s="2">
        <v>46198</v>
      </c>
      <c r="C308" t="s">
        <v>95</v>
      </c>
      <c r="D308" t="s">
        <v>35</v>
      </c>
      <c r="E308" t="s">
        <v>59</v>
      </c>
      <c r="F308" t="s">
        <v>17</v>
      </c>
      <c r="G308">
        <v>2</v>
      </c>
      <c r="H308" s="3">
        <v>11.95</v>
      </c>
      <c r="I308" s="3">
        <v>23.9</v>
      </c>
      <c r="J308" t="s">
        <v>18</v>
      </c>
      <c r="K308">
        <v>6</v>
      </c>
      <c r="L308">
        <v>33</v>
      </c>
      <c r="M308" t="s">
        <v>19</v>
      </c>
      <c r="N308">
        <f t="shared" si="8"/>
        <v>23.9</v>
      </c>
      <c r="O308" t="b">
        <f t="shared" si="9"/>
        <v>1</v>
      </c>
    </row>
    <row r="309" spans="1:15">
      <c r="A309" t="s">
        <v>473</v>
      </c>
      <c r="B309" s="2">
        <v>46023</v>
      </c>
      <c r="C309" t="s">
        <v>205</v>
      </c>
      <c r="D309" t="s">
        <v>35</v>
      </c>
      <c r="E309" t="s">
        <v>50</v>
      </c>
      <c r="F309" t="s">
        <v>17</v>
      </c>
      <c r="G309">
        <v>3</v>
      </c>
      <c r="H309" s="3">
        <v>14.5</v>
      </c>
      <c r="I309" s="3">
        <v>43.5</v>
      </c>
      <c r="J309" t="s">
        <v>53</v>
      </c>
      <c r="K309">
        <v>6</v>
      </c>
      <c r="L309">
        <v>21</v>
      </c>
      <c r="M309" t="s">
        <v>19</v>
      </c>
      <c r="N309">
        <f t="shared" si="8"/>
        <v>43.5</v>
      </c>
      <c r="O309" t="b">
        <f t="shared" si="9"/>
        <v>1</v>
      </c>
    </row>
    <row r="310" spans="1:15">
      <c r="A310" t="s">
        <v>474</v>
      </c>
      <c r="B310" s="2">
        <v>46163</v>
      </c>
      <c r="C310" t="s">
        <v>465</v>
      </c>
      <c r="D310" t="s">
        <v>15</v>
      </c>
      <c r="E310" t="s">
        <v>39</v>
      </c>
      <c r="F310" t="s">
        <v>17</v>
      </c>
      <c r="G310">
        <v>1</v>
      </c>
      <c r="H310" s="3">
        <v>12.95</v>
      </c>
      <c r="I310" s="3">
        <v>12.95</v>
      </c>
      <c r="J310" t="s">
        <v>18</v>
      </c>
      <c r="K310">
        <v>10</v>
      </c>
      <c r="L310">
        <v>19</v>
      </c>
      <c r="M310" t="s">
        <v>19</v>
      </c>
      <c r="N310">
        <f t="shared" si="8"/>
        <v>12.95</v>
      </c>
      <c r="O310" t="b">
        <f t="shared" si="9"/>
        <v>1</v>
      </c>
    </row>
    <row r="311" spans="1:15">
      <c r="A311" t="s">
        <v>475</v>
      </c>
      <c r="B311" s="2">
        <v>46142</v>
      </c>
      <c r="C311" t="s">
        <v>314</v>
      </c>
      <c r="D311" t="s">
        <v>35</v>
      </c>
      <c r="E311" t="s">
        <v>59</v>
      </c>
      <c r="F311" t="s">
        <v>17</v>
      </c>
      <c r="G311">
        <v>1</v>
      </c>
      <c r="H311" s="3">
        <v>11.95</v>
      </c>
      <c r="I311" s="3">
        <v>11.95</v>
      </c>
      <c r="J311" t="s">
        <v>27</v>
      </c>
      <c r="K311">
        <v>3</v>
      </c>
      <c r="L311">
        <v>25</v>
      </c>
      <c r="M311" t="s">
        <v>19</v>
      </c>
      <c r="N311">
        <f t="shared" si="8"/>
        <v>11.95</v>
      </c>
      <c r="O311" t="b">
        <f t="shared" si="9"/>
        <v>1</v>
      </c>
    </row>
    <row r="312" spans="1:15">
      <c r="A312" t="s">
        <v>476</v>
      </c>
      <c r="B312" s="2">
        <v>46138</v>
      </c>
      <c r="C312" t="s">
        <v>66</v>
      </c>
      <c r="D312" t="s">
        <v>35</v>
      </c>
      <c r="E312" t="s">
        <v>26</v>
      </c>
      <c r="F312" t="s">
        <v>17</v>
      </c>
      <c r="G312">
        <v>2</v>
      </c>
      <c r="H312" s="3">
        <v>11.5</v>
      </c>
      <c r="I312" s="3">
        <v>23</v>
      </c>
      <c r="J312" t="s">
        <v>18</v>
      </c>
      <c r="K312">
        <v>5</v>
      </c>
      <c r="L312">
        <v>26</v>
      </c>
      <c r="M312" t="s">
        <v>19</v>
      </c>
      <c r="N312">
        <f t="shared" si="8"/>
        <v>23</v>
      </c>
      <c r="O312" t="b">
        <f t="shared" si="9"/>
        <v>1</v>
      </c>
    </row>
    <row r="313" spans="1:15">
      <c r="A313" t="s">
        <v>477</v>
      </c>
      <c r="B313" s="2">
        <v>46140</v>
      </c>
      <c r="C313" t="s">
        <v>279</v>
      </c>
      <c r="D313" t="s">
        <v>35</v>
      </c>
      <c r="E313" t="s">
        <v>59</v>
      </c>
      <c r="F313" t="s">
        <v>17</v>
      </c>
      <c r="G313">
        <v>1</v>
      </c>
      <c r="H313" s="3">
        <v>11.95</v>
      </c>
      <c r="I313" s="3">
        <v>11.95</v>
      </c>
      <c r="J313" t="s">
        <v>18</v>
      </c>
      <c r="K313">
        <v>5</v>
      </c>
      <c r="L313">
        <v>19</v>
      </c>
      <c r="M313" t="s">
        <v>19</v>
      </c>
      <c r="N313">
        <f t="shared" si="8"/>
        <v>11.95</v>
      </c>
      <c r="O313" t="b">
        <f t="shared" si="9"/>
        <v>1</v>
      </c>
    </row>
    <row r="314" spans="1:15">
      <c r="A314" t="s">
        <v>478</v>
      </c>
      <c r="B314" s="2">
        <v>46091</v>
      </c>
      <c r="C314" t="s">
        <v>112</v>
      </c>
      <c r="D314" t="s">
        <v>35</v>
      </c>
      <c r="E314" t="s">
        <v>39</v>
      </c>
      <c r="F314" t="s">
        <v>17</v>
      </c>
      <c r="G314">
        <v>1</v>
      </c>
      <c r="H314" s="3">
        <v>12.95</v>
      </c>
      <c r="I314" s="3">
        <v>12.95</v>
      </c>
      <c r="J314" t="s">
        <v>18</v>
      </c>
      <c r="K314">
        <v>12</v>
      </c>
      <c r="L314">
        <v>17</v>
      </c>
      <c r="M314" t="s">
        <v>19</v>
      </c>
      <c r="N314">
        <f t="shared" si="8"/>
        <v>12.95</v>
      </c>
      <c r="O314" t="b">
        <f t="shared" si="9"/>
        <v>1</v>
      </c>
    </row>
    <row r="315" spans="1:15">
      <c r="A315" t="s">
        <v>479</v>
      </c>
      <c r="B315" s="2">
        <v>46100</v>
      </c>
      <c r="C315" t="s">
        <v>130</v>
      </c>
      <c r="D315" t="s">
        <v>35</v>
      </c>
      <c r="E315" t="s">
        <v>96</v>
      </c>
      <c r="F315" t="s">
        <v>47</v>
      </c>
      <c r="G315">
        <v>2</v>
      </c>
      <c r="H315" s="3">
        <v>5.75</v>
      </c>
      <c r="I315" s="3">
        <v>11.5</v>
      </c>
      <c r="J315" t="s">
        <v>27</v>
      </c>
      <c r="K315">
        <v>29</v>
      </c>
      <c r="L315">
        <v>17</v>
      </c>
      <c r="M315" t="s">
        <v>19</v>
      </c>
      <c r="N315">
        <f t="shared" si="8"/>
        <v>11.5</v>
      </c>
      <c r="O315" t="b">
        <f t="shared" si="9"/>
        <v>1</v>
      </c>
    </row>
    <row r="316" spans="1:15">
      <c r="A316" t="s">
        <v>480</v>
      </c>
      <c r="B316" s="2">
        <v>46086</v>
      </c>
      <c r="C316" t="s">
        <v>180</v>
      </c>
      <c r="D316" t="s">
        <v>35</v>
      </c>
      <c r="E316" t="s">
        <v>78</v>
      </c>
      <c r="F316" t="s">
        <v>47</v>
      </c>
      <c r="G316">
        <v>1</v>
      </c>
      <c r="H316" s="3">
        <v>7.25</v>
      </c>
      <c r="I316" s="3">
        <v>7.25</v>
      </c>
      <c r="J316" t="s">
        <v>18</v>
      </c>
      <c r="K316">
        <v>8</v>
      </c>
      <c r="L316">
        <v>20</v>
      </c>
      <c r="M316" t="s">
        <v>19</v>
      </c>
      <c r="N316">
        <f t="shared" si="8"/>
        <v>7.25</v>
      </c>
      <c r="O316" t="b">
        <f t="shared" si="9"/>
        <v>1</v>
      </c>
    </row>
    <row r="317" spans="1:15">
      <c r="A317" t="s">
        <v>481</v>
      </c>
      <c r="B317" s="2">
        <v>46168</v>
      </c>
      <c r="C317" t="s">
        <v>366</v>
      </c>
      <c r="D317" t="s">
        <v>35</v>
      </c>
      <c r="E317" t="s">
        <v>126</v>
      </c>
      <c r="F317" t="s">
        <v>31</v>
      </c>
      <c r="G317">
        <v>1</v>
      </c>
      <c r="H317" s="3">
        <v>7.95</v>
      </c>
      <c r="I317" s="3">
        <v>7.95</v>
      </c>
      <c r="J317" t="s">
        <v>27</v>
      </c>
      <c r="K317">
        <v>17</v>
      </c>
      <c r="L317">
        <v>28</v>
      </c>
      <c r="M317" t="s">
        <v>19</v>
      </c>
      <c r="N317">
        <f t="shared" si="8"/>
        <v>7.95</v>
      </c>
      <c r="O317" t="b">
        <f t="shared" si="9"/>
        <v>1</v>
      </c>
    </row>
    <row r="318" spans="1:15">
      <c r="A318" t="s">
        <v>482</v>
      </c>
      <c r="B318" s="2">
        <v>46223</v>
      </c>
      <c r="C318" t="s">
        <v>483</v>
      </c>
      <c r="D318" t="s">
        <v>15</v>
      </c>
      <c r="E318" t="s">
        <v>103</v>
      </c>
      <c r="F318" t="s">
        <v>23</v>
      </c>
      <c r="G318">
        <v>1</v>
      </c>
      <c r="H318" s="3">
        <v>3.25</v>
      </c>
      <c r="I318" s="3">
        <v>3.25</v>
      </c>
      <c r="J318" t="s">
        <v>53</v>
      </c>
      <c r="K318">
        <v>17</v>
      </c>
      <c r="L318">
        <v>2</v>
      </c>
      <c r="M318" t="s">
        <v>19</v>
      </c>
      <c r="N318">
        <f t="shared" si="8"/>
        <v>3.25</v>
      </c>
      <c r="O318" t="b">
        <f t="shared" si="9"/>
        <v>1</v>
      </c>
    </row>
    <row r="319" spans="1:15">
      <c r="A319" t="s">
        <v>484</v>
      </c>
      <c r="B319" s="2">
        <v>46029</v>
      </c>
      <c r="C319" t="s">
        <v>120</v>
      </c>
      <c r="D319" t="s">
        <v>35</v>
      </c>
      <c r="E319" t="s">
        <v>46</v>
      </c>
      <c r="F319" t="s">
        <v>47</v>
      </c>
      <c r="G319">
        <v>2</v>
      </c>
      <c r="H319" s="3">
        <v>6.95</v>
      </c>
      <c r="I319" s="3">
        <v>13.9</v>
      </c>
      <c r="J319" t="s">
        <v>18</v>
      </c>
      <c r="K319">
        <v>14</v>
      </c>
      <c r="L319">
        <v>20</v>
      </c>
      <c r="M319" t="s">
        <v>19</v>
      </c>
      <c r="N319">
        <f t="shared" si="8"/>
        <v>13.9</v>
      </c>
      <c r="O319" t="b">
        <f t="shared" si="9"/>
        <v>1</v>
      </c>
    </row>
    <row r="320" spans="1:15">
      <c r="A320" t="s">
        <v>485</v>
      </c>
      <c r="B320" s="2">
        <v>46111</v>
      </c>
      <c r="C320" t="s">
        <v>95</v>
      </c>
      <c r="D320" t="s">
        <v>35</v>
      </c>
      <c r="E320" t="s">
        <v>121</v>
      </c>
      <c r="F320" t="s">
        <v>23</v>
      </c>
      <c r="G320">
        <v>1</v>
      </c>
      <c r="H320" s="3">
        <v>6.5</v>
      </c>
      <c r="I320" s="3">
        <v>6.5</v>
      </c>
      <c r="J320" t="s">
        <v>18</v>
      </c>
      <c r="K320">
        <v>26</v>
      </c>
      <c r="L320">
        <v>15</v>
      </c>
      <c r="M320" t="s">
        <v>19</v>
      </c>
      <c r="N320">
        <f t="shared" si="8"/>
        <v>6.5</v>
      </c>
      <c r="O320" t="b">
        <f t="shared" si="9"/>
        <v>1</v>
      </c>
    </row>
    <row r="321" spans="1:15">
      <c r="A321" t="s">
        <v>486</v>
      </c>
      <c r="B321" s="2">
        <v>46169</v>
      </c>
      <c r="C321" t="s">
        <v>145</v>
      </c>
      <c r="D321" t="s">
        <v>35</v>
      </c>
      <c r="E321" t="s">
        <v>78</v>
      </c>
      <c r="F321" t="s">
        <v>47</v>
      </c>
      <c r="G321">
        <v>2</v>
      </c>
      <c r="H321" s="3">
        <v>7.25</v>
      </c>
      <c r="I321" s="3">
        <v>14.5</v>
      </c>
      <c r="J321" t="s">
        <v>18</v>
      </c>
      <c r="K321">
        <v>21</v>
      </c>
      <c r="L321">
        <v>33</v>
      </c>
      <c r="M321" t="s">
        <v>19</v>
      </c>
      <c r="N321">
        <f t="shared" si="8"/>
        <v>14.5</v>
      </c>
      <c r="O321" t="b">
        <f t="shared" si="9"/>
        <v>1</v>
      </c>
    </row>
    <row r="322" spans="1:15">
      <c r="A322" t="s">
        <v>487</v>
      </c>
      <c r="B322" s="2">
        <v>46101</v>
      </c>
      <c r="C322" t="s">
        <v>80</v>
      </c>
      <c r="D322" t="s">
        <v>15</v>
      </c>
      <c r="E322" t="s">
        <v>22</v>
      </c>
      <c r="F322" t="s">
        <v>23</v>
      </c>
      <c r="G322">
        <v>3</v>
      </c>
      <c r="H322" s="3">
        <v>3.1</v>
      </c>
      <c r="I322" s="3">
        <v>9.3000000000000007</v>
      </c>
      <c r="J322" t="s">
        <v>32</v>
      </c>
      <c r="K322">
        <v>21</v>
      </c>
      <c r="L322">
        <v>3</v>
      </c>
      <c r="M322" t="s">
        <v>19</v>
      </c>
      <c r="N322">
        <f t="shared" ref="N322:N385" si="10">G322*H322</f>
        <v>9.3000000000000007</v>
      </c>
      <c r="O322" t="b">
        <f t="shared" ref="O322:O385" si="11">OR(AND(M322="Completed",I322=N322),AND(M322="Refunded",ABS(I322)=N322),AND(M322="Cancelled",I322=0))</f>
        <v>1</v>
      </c>
    </row>
    <row r="323" spans="1:15">
      <c r="A323" t="s">
        <v>488</v>
      </c>
      <c r="B323" s="2">
        <v>46056</v>
      </c>
      <c r="C323" t="s">
        <v>489</v>
      </c>
      <c r="D323" t="s">
        <v>15</v>
      </c>
      <c r="E323" t="s">
        <v>16</v>
      </c>
      <c r="F323" t="s">
        <v>17</v>
      </c>
      <c r="G323">
        <v>1</v>
      </c>
      <c r="H323" s="3">
        <v>9.9499999999999993</v>
      </c>
      <c r="I323" s="3">
        <v>9.9499999999999993</v>
      </c>
      <c r="J323" t="s">
        <v>18</v>
      </c>
      <c r="K323">
        <v>30</v>
      </c>
      <c r="L323">
        <v>14</v>
      </c>
      <c r="M323" t="s">
        <v>19</v>
      </c>
      <c r="N323">
        <f t="shared" si="10"/>
        <v>9.9499999999999993</v>
      </c>
      <c r="O323" t="b">
        <f t="shared" si="11"/>
        <v>1</v>
      </c>
    </row>
    <row r="324" spans="1:15">
      <c r="A324" t="s">
        <v>490</v>
      </c>
      <c r="B324" s="2">
        <v>46255</v>
      </c>
      <c r="C324" t="s">
        <v>431</v>
      </c>
      <c r="D324" t="s">
        <v>35</v>
      </c>
      <c r="E324" t="s">
        <v>106</v>
      </c>
      <c r="F324" t="s">
        <v>17</v>
      </c>
      <c r="G324">
        <v>1</v>
      </c>
      <c r="H324" s="3">
        <v>15.95</v>
      </c>
      <c r="I324" s="3">
        <v>15.95</v>
      </c>
      <c r="J324" t="s">
        <v>53</v>
      </c>
      <c r="K324">
        <v>16</v>
      </c>
      <c r="L324">
        <v>20</v>
      </c>
      <c r="M324" t="s">
        <v>19</v>
      </c>
      <c r="N324">
        <f t="shared" si="10"/>
        <v>15.95</v>
      </c>
      <c r="O324" t="b">
        <f t="shared" si="11"/>
        <v>1</v>
      </c>
    </row>
    <row r="325" spans="1:15">
      <c r="A325" t="s">
        <v>491</v>
      </c>
      <c r="B325" s="2">
        <v>46290</v>
      </c>
      <c r="C325" t="s">
        <v>105</v>
      </c>
      <c r="D325" t="s">
        <v>35</v>
      </c>
      <c r="E325" t="s">
        <v>106</v>
      </c>
      <c r="F325" t="s">
        <v>17</v>
      </c>
      <c r="G325">
        <v>1</v>
      </c>
      <c r="H325" s="3">
        <v>15.95</v>
      </c>
      <c r="I325" s="3">
        <v>0</v>
      </c>
      <c r="J325" t="s">
        <v>53</v>
      </c>
      <c r="K325">
        <v>25</v>
      </c>
      <c r="L325">
        <v>20</v>
      </c>
      <c r="M325" t="s">
        <v>152</v>
      </c>
      <c r="N325">
        <f t="shared" si="10"/>
        <v>15.95</v>
      </c>
      <c r="O325" t="b">
        <f t="shared" si="11"/>
        <v>1</v>
      </c>
    </row>
    <row r="326" spans="1:15">
      <c r="A326" t="s">
        <v>492</v>
      </c>
      <c r="B326" s="2">
        <v>46083</v>
      </c>
      <c r="C326" t="s">
        <v>493</v>
      </c>
      <c r="D326" t="s">
        <v>35</v>
      </c>
      <c r="E326" t="s">
        <v>78</v>
      </c>
      <c r="F326" t="s">
        <v>47</v>
      </c>
      <c r="G326">
        <v>1</v>
      </c>
      <c r="H326" s="3">
        <v>7.25</v>
      </c>
      <c r="I326" s="3">
        <v>7.25</v>
      </c>
      <c r="J326" t="s">
        <v>27</v>
      </c>
      <c r="K326">
        <v>21</v>
      </c>
      <c r="L326">
        <v>18</v>
      </c>
      <c r="M326" t="s">
        <v>19</v>
      </c>
      <c r="N326">
        <f t="shared" si="10"/>
        <v>7.25</v>
      </c>
      <c r="O326" t="b">
        <f t="shared" si="11"/>
        <v>1</v>
      </c>
    </row>
    <row r="327" spans="1:15">
      <c r="A327" t="s">
        <v>494</v>
      </c>
      <c r="B327" s="2">
        <v>46256</v>
      </c>
      <c r="C327" t="s">
        <v>381</v>
      </c>
      <c r="D327" t="s">
        <v>35</v>
      </c>
      <c r="E327" t="s">
        <v>121</v>
      </c>
      <c r="F327" t="s">
        <v>23</v>
      </c>
      <c r="G327">
        <v>1</v>
      </c>
      <c r="H327" s="3">
        <v>6.5</v>
      </c>
      <c r="I327" s="3">
        <v>6.5</v>
      </c>
      <c r="J327" t="s">
        <v>32</v>
      </c>
      <c r="K327">
        <v>9</v>
      </c>
      <c r="L327">
        <v>29</v>
      </c>
      <c r="M327" t="s">
        <v>19</v>
      </c>
      <c r="N327">
        <f t="shared" si="10"/>
        <v>6.5</v>
      </c>
      <c r="O327" t="b">
        <f t="shared" si="11"/>
        <v>1</v>
      </c>
    </row>
    <row r="328" spans="1:15">
      <c r="A328" t="s">
        <v>495</v>
      </c>
      <c r="B328" s="2">
        <v>46082</v>
      </c>
      <c r="C328" t="s">
        <v>58</v>
      </c>
      <c r="D328" t="s">
        <v>15</v>
      </c>
      <c r="E328" t="s">
        <v>83</v>
      </c>
      <c r="F328" t="s">
        <v>17</v>
      </c>
      <c r="G328">
        <v>2</v>
      </c>
      <c r="H328" s="3">
        <v>13.5</v>
      </c>
      <c r="I328" s="3">
        <v>27</v>
      </c>
      <c r="J328" t="s">
        <v>53</v>
      </c>
      <c r="K328">
        <v>13</v>
      </c>
      <c r="L328">
        <v>16</v>
      </c>
      <c r="M328" t="s">
        <v>19</v>
      </c>
      <c r="N328">
        <f t="shared" si="10"/>
        <v>27</v>
      </c>
      <c r="O328" t="b">
        <f t="shared" si="11"/>
        <v>1</v>
      </c>
    </row>
    <row r="329" spans="1:15">
      <c r="A329" t="s">
        <v>496</v>
      </c>
      <c r="B329" s="2">
        <v>46114</v>
      </c>
      <c r="C329" t="s">
        <v>400</v>
      </c>
      <c r="D329" t="s">
        <v>35</v>
      </c>
      <c r="E329" t="s">
        <v>78</v>
      </c>
      <c r="F329" t="s">
        <v>47</v>
      </c>
      <c r="G329">
        <v>1</v>
      </c>
      <c r="H329" s="3">
        <v>7.25</v>
      </c>
      <c r="I329" s="3">
        <v>7.25</v>
      </c>
      <c r="J329" t="s">
        <v>53</v>
      </c>
      <c r="K329">
        <v>14</v>
      </c>
      <c r="L329">
        <v>26</v>
      </c>
      <c r="M329" t="s">
        <v>19</v>
      </c>
      <c r="N329">
        <f t="shared" si="10"/>
        <v>7.25</v>
      </c>
      <c r="O329" t="b">
        <f t="shared" si="11"/>
        <v>1</v>
      </c>
    </row>
    <row r="330" spans="1:15">
      <c r="A330" t="s">
        <v>497</v>
      </c>
      <c r="B330" s="2">
        <v>46186</v>
      </c>
      <c r="C330" t="s">
        <v>391</v>
      </c>
      <c r="D330" t="s">
        <v>15</v>
      </c>
      <c r="E330" t="s">
        <v>30</v>
      </c>
      <c r="F330" t="s">
        <v>31</v>
      </c>
      <c r="G330">
        <v>1</v>
      </c>
      <c r="H330" s="3">
        <v>8.5</v>
      </c>
      <c r="I330" s="3">
        <v>8.5</v>
      </c>
      <c r="J330" t="s">
        <v>18</v>
      </c>
      <c r="K330">
        <v>26</v>
      </c>
      <c r="L330">
        <v>19</v>
      </c>
      <c r="M330" t="s">
        <v>19</v>
      </c>
      <c r="N330">
        <f t="shared" si="10"/>
        <v>8.5</v>
      </c>
      <c r="O330" t="b">
        <f t="shared" si="11"/>
        <v>1</v>
      </c>
    </row>
    <row r="331" spans="1:15">
      <c r="A331" t="s">
        <v>498</v>
      </c>
      <c r="B331" s="2">
        <v>46046</v>
      </c>
      <c r="C331" t="s">
        <v>381</v>
      </c>
      <c r="D331" t="s">
        <v>35</v>
      </c>
      <c r="E331" t="s">
        <v>126</v>
      </c>
      <c r="F331" t="s">
        <v>31</v>
      </c>
      <c r="G331">
        <v>2</v>
      </c>
      <c r="H331" s="3">
        <v>7.95</v>
      </c>
      <c r="I331" s="3">
        <v>15.9</v>
      </c>
      <c r="J331" t="s">
        <v>27</v>
      </c>
      <c r="K331">
        <v>11</v>
      </c>
      <c r="L331">
        <v>17</v>
      </c>
      <c r="M331" t="s">
        <v>19</v>
      </c>
      <c r="N331">
        <f t="shared" si="10"/>
        <v>15.9</v>
      </c>
      <c r="O331" t="b">
        <f t="shared" si="11"/>
        <v>1</v>
      </c>
    </row>
    <row r="332" spans="1:15">
      <c r="A332" t="s">
        <v>499</v>
      </c>
      <c r="B332" s="2">
        <v>46256</v>
      </c>
      <c r="C332" t="s">
        <v>38</v>
      </c>
      <c r="D332" t="s">
        <v>15</v>
      </c>
      <c r="E332" t="s">
        <v>121</v>
      </c>
      <c r="F332" t="s">
        <v>23</v>
      </c>
      <c r="G332">
        <v>2</v>
      </c>
      <c r="H332" s="3">
        <v>6.5</v>
      </c>
      <c r="I332" s="3">
        <v>0</v>
      </c>
      <c r="J332" t="s">
        <v>53</v>
      </c>
      <c r="K332">
        <v>19</v>
      </c>
      <c r="L332">
        <v>4</v>
      </c>
      <c r="M332" t="s">
        <v>152</v>
      </c>
      <c r="N332">
        <f t="shared" si="10"/>
        <v>13</v>
      </c>
      <c r="O332" t="b">
        <f t="shared" si="11"/>
        <v>1</v>
      </c>
    </row>
    <row r="333" spans="1:15">
      <c r="A333" t="s">
        <v>500</v>
      </c>
      <c r="B333" s="2">
        <v>46123</v>
      </c>
      <c r="C333" t="s">
        <v>156</v>
      </c>
      <c r="D333" t="s">
        <v>35</v>
      </c>
      <c r="E333" t="s">
        <v>50</v>
      </c>
      <c r="F333" t="s">
        <v>17</v>
      </c>
      <c r="G333">
        <v>1</v>
      </c>
      <c r="H333" s="3">
        <v>14.5</v>
      </c>
      <c r="I333" s="3">
        <v>14.5</v>
      </c>
      <c r="J333" t="s">
        <v>27</v>
      </c>
      <c r="K333">
        <v>1</v>
      </c>
      <c r="L333">
        <v>15</v>
      </c>
      <c r="M333" t="s">
        <v>19</v>
      </c>
      <c r="N333">
        <f t="shared" si="10"/>
        <v>14.5</v>
      </c>
      <c r="O333" t="b">
        <f t="shared" si="11"/>
        <v>1</v>
      </c>
    </row>
    <row r="334" spans="1:15">
      <c r="A334" t="s">
        <v>501</v>
      </c>
      <c r="B334" s="2">
        <v>46200</v>
      </c>
      <c r="C334" t="s">
        <v>366</v>
      </c>
      <c r="D334" t="s">
        <v>35</v>
      </c>
      <c r="E334" t="s">
        <v>93</v>
      </c>
      <c r="F334" t="s">
        <v>31</v>
      </c>
      <c r="G334">
        <v>1</v>
      </c>
      <c r="H334" s="3">
        <v>6.25</v>
      </c>
      <c r="I334" s="3">
        <v>6.25</v>
      </c>
      <c r="J334" t="s">
        <v>27</v>
      </c>
      <c r="K334">
        <v>10</v>
      </c>
      <c r="L334">
        <v>12</v>
      </c>
      <c r="M334" t="s">
        <v>19</v>
      </c>
      <c r="N334">
        <f t="shared" si="10"/>
        <v>6.25</v>
      </c>
      <c r="O334" t="b">
        <f t="shared" si="11"/>
        <v>1</v>
      </c>
    </row>
    <row r="335" spans="1:15">
      <c r="A335" t="s">
        <v>502</v>
      </c>
      <c r="B335" s="2">
        <v>46294</v>
      </c>
      <c r="C335" t="s">
        <v>171</v>
      </c>
      <c r="D335" t="s">
        <v>35</v>
      </c>
      <c r="E335" t="s">
        <v>83</v>
      </c>
      <c r="F335" t="s">
        <v>17</v>
      </c>
      <c r="G335">
        <v>4</v>
      </c>
      <c r="H335" s="3">
        <v>13.5</v>
      </c>
      <c r="I335" s="3">
        <v>54</v>
      </c>
      <c r="J335" t="s">
        <v>27</v>
      </c>
      <c r="K335">
        <v>23</v>
      </c>
      <c r="L335">
        <v>26</v>
      </c>
      <c r="M335" t="s">
        <v>19</v>
      </c>
      <c r="N335">
        <f t="shared" si="10"/>
        <v>54</v>
      </c>
      <c r="O335" t="b">
        <f t="shared" si="11"/>
        <v>1</v>
      </c>
    </row>
    <row r="336" spans="1:15">
      <c r="A336" t="s">
        <v>503</v>
      </c>
      <c r="B336" s="2">
        <v>46045</v>
      </c>
      <c r="C336" t="s">
        <v>145</v>
      </c>
      <c r="D336" t="s">
        <v>35</v>
      </c>
      <c r="E336" t="s">
        <v>30</v>
      </c>
      <c r="F336" t="s">
        <v>31</v>
      </c>
      <c r="G336">
        <v>1</v>
      </c>
      <c r="H336" s="3">
        <v>8.5</v>
      </c>
      <c r="I336" s="3">
        <v>0</v>
      </c>
      <c r="J336" t="s">
        <v>18</v>
      </c>
      <c r="K336">
        <v>5</v>
      </c>
      <c r="L336">
        <v>22</v>
      </c>
      <c r="M336" t="s">
        <v>152</v>
      </c>
      <c r="N336">
        <f t="shared" si="10"/>
        <v>8.5</v>
      </c>
      <c r="O336" t="b">
        <f t="shared" si="11"/>
        <v>1</v>
      </c>
    </row>
    <row r="337" spans="1:15">
      <c r="A337" t="s">
        <v>504</v>
      </c>
      <c r="B337" s="2">
        <v>46224</v>
      </c>
      <c r="C337" t="s">
        <v>58</v>
      </c>
      <c r="D337" t="s">
        <v>15</v>
      </c>
      <c r="E337" t="s">
        <v>78</v>
      </c>
      <c r="F337" t="s">
        <v>47</v>
      </c>
      <c r="G337">
        <v>2</v>
      </c>
      <c r="H337" s="3">
        <v>7.25</v>
      </c>
      <c r="I337" s="3">
        <v>14.5</v>
      </c>
      <c r="J337" t="s">
        <v>27</v>
      </c>
      <c r="K337">
        <v>8</v>
      </c>
      <c r="L337">
        <v>17</v>
      </c>
      <c r="M337" t="s">
        <v>19</v>
      </c>
      <c r="N337">
        <f t="shared" si="10"/>
        <v>14.5</v>
      </c>
      <c r="O337" t="b">
        <f t="shared" si="11"/>
        <v>1</v>
      </c>
    </row>
    <row r="338" spans="1:15">
      <c r="A338" t="s">
        <v>505</v>
      </c>
      <c r="B338" s="2">
        <v>46184</v>
      </c>
      <c r="C338" t="s">
        <v>506</v>
      </c>
      <c r="D338" t="s">
        <v>35</v>
      </c>
      <c r="E338" t="s">
        <v>93</v>
      </c>
      <c r="F338" t="s">
        <v>31</v>
      </c>
      <c r="G338">
        <v>1</v>
      </c>
      <c r="H338" s="3">
        <v>6.25</v>
      </c>
      <c r="I338" s="3">
        <v>6.25</v>
      </c>
      <c r="J338" t="s">
        <v>32</v>
      </c>
      <c r="K338">
        <v>5</v>
      </c>
      <c r="L338">
        <v>21</v>
      </c>
      <c r="M338" t="s">
        <v>19</v>
      </c>
      <c r="N338">
        <f t="shared" si="10"/>
        <v>6.25</v>
      </c>
      <c r="O338" t="b">
        <f t="shared" si="11"/>
        <v>1</v>
      </c>
    </row>
    <row r="339" spans="1:15">
      <c r="A339" t="s">
        <v>507</v>
      </c>
      <c r="B339" s="2">
        <v>46078</v>
      </c>
      <c r="C339" t="s">
        <v>236</v>
      </c>
      <c r="D339" t="s">
        <v>15</v>
      </c>
      <c r="E339" t="s">
        <v>96</v>
      </c>
      <c r="F339" t="s">
        <v>47</v>
      </c>
      <c r="G339">
        <v>1</v>
      </c>
      <c r="H339" s="3">
        <v>5.75</v>
      </c>
      <c r="I339" s="3">
        <v>5.75</v>
      </c>
      <c r="J339" t="s">
        <v>18</v>
      </c>
      <c r="K339">
        <v>18</v>
      </c>
      <c r="L339">
        <v>30</v>
      </c>
      <c r="M339" t="s">
        <v>19</v>
      </c>
      <c r="N339">
        <f t="shared" si="10"/>
        <v>5.75</v>
      </c>
      <c r="O339" t="b">
        <f t="shared" si="11"/>
        <v>1</v>
      </c>
    </row>
    <row r="340" spans="1:15">
      <c r="A340" t="s">
        <v>508</v>
      </c>
      <c r="B340" s="2">
        <v>46129</v>
      </c>
      <c r="C340" t="s">
        <v>195</v>
      </c>
      <c r="D340" t="s">
        <v>35</v>
      </c>
      <c r="E340" t="s">
        <v>59</v>
      </c>
      <c r="F340" t="s">
        <v>17</v>
      </c>
      <c r="G340">
        <v>1</v>
      </c>
      <c r="H340" s="3">
        <v>11.95</v>
      </c>
      <c r="I340" s="3">
        <v>11.95</v>
      </c>
      <c r="J340" t="s">
        <v>27</v>
      </c>
      <c r="K340">
        <v>20</v>
      </c>
      <c r="L340">
        <v>16</v>
      </c>
      <c r="M340" t="s">
        <v>19</v>
      </c>
      <c r="N340">
        <f t="shared" si="10"/>
        <v>11.95</v>
      </c>
      <c r="O340" t="b">
        <f t="shared" si="11"/>
        <v>1</v>
      </c>
    </row>
    <row r="341" spans="1:15">
      <c r="A341" t="s">
        <v>509</v>
      </c>
      <c r="B341" s="2">
        <v>46190</v>
      </c>
      <c r="C341" t="s">
        <v>175</v>
      </c>
      <c r="D341" t="s">
        <v>15</v>
      </c>
      <c r="E341" t="s">
        <v>46</v>
      </c>
      <c r="F341" t="s">
        <v>47</v>
      </c>
      <c r="G341">
        <v>1</v>
      </c>
      <c r="H341" s="3">
        <v>6.95</v>
      </c>
      <c r="I341" s="3">
        <v>6.95</v>
      </c>
      <c r="J341" t="s">
        <v>27</v>
      </c>
      <c r="K341">
        <v>10</v>
      </c>
      <c r="L341">
        <v>24</v>
      </c>
      <c r="M341" t="s">
        <v>19</v>
      </c>
      <c r="N341">
        <f t="shared" si="10"/>
        <v>6.95</v>
      </c>
      <c r="O341" t="b">
        <f t="shared" si="11"/>
        <v>1</v>
      </c>
    </row>
    <row r="342" spans="1:15">
      <c r="A342" t="s">
        <v>510</v>
      </c>
      <c r="B342" s="2">
        <v>46112</v>
      </c>
      <c r="C342" t="s">
        <v>385</v>
      </c>
      <c r="D342" t="s">
        <v>15</v>
      </c>
      <c r="E342" t="s">
        <v>36</v>
      </c>
      <c r="F342" t="s">
        <v>23</v>
      </c>
      <c r="G342">
        <v>2</v>
      </c>
      <c r="H342" s="3">
        <v>2.8</v>
      </c>
      <c r="I342" s="3">
        <v>5.6</v>
      </c>
      <c r="J342" t="s">
        <v>27</v>
      </c>
      <c r="K342">
        <v>26</v>
      </c>
      <c r="L342">
        <v>11</v>
      </c>
      <c r="M342" t="s">
        <v>19</v>
      </c>
      <c r="N342">
        <f t="shared" si="10"/>
        <v>5.6</v>
      </c>
      <c r="O342" t="b">
        <f t="shared" si="11"/>
        <v>1</v>
      </c>
    </row>
    <row r="343" spans="1:15">
      <c r="A343" t="s">
        <v>511</v>
      </c>
      <c r="B343" s="2">
        <v>46029</v>
      </c>
      <c r="C343" t="s">
        <v>512</v>
      </c>
      <c r="D343" t="s">
        <v>15</v>
      </c>
      <c r="E343" t="s">
        <v>70</v>
      </c>
      <c r="F343" t="s">
        <v>17</v>
      </c>
      <c r="G343">
        <v>2</v>
      </c>
      <c r="H343" s="3">
        <v>12.5</v>
      </c>
      <c r="I343" s="3">
        <v>25</v>
      </c>
      <c r="J343" t="s">
        <v>18</v>
      </c>
      <c r="K343">
        <v>22</v>
      </c>
      <c r="L343">
        <v>17</v>
      </c>
      <c r="M343" t="s">
        <v>19</v>
      </c>
      <c r="N343">
        <f t="shared" si="10"/>
        <v>25</v>
      </c>
      <c r="O343" t="b">
        <f t="shared" si="11"/>
        <v>1</v>
      </c>
    </row>
    <row r="344" spans="1:15">
      <c r="A344" t="s">
        <v>513</v>
      </c>
      <c r="B344" s="2">
        <v>46066</v>
      </c>
      <c r="C344" t="s">
        <v>387</v>
      </c>
      <c r="D344" t="s">
        <v>35</v>
      </c>
      <c r="E344" t="s">
        <v>26</v>
      </c>
      <c r="F344" t="s">
        <v>17</v>
      </c>
      <c r="G344">
        <v>4</v>
      </c>
      <c r="H344" s="3">
        <v>11.5</v>
      </c>
      <c r="I344" s="3">
        <v>46</v>
      </c>
      <c r="J344" t="s">
        <v>27</v>
      </c>
      <c r="K344">
        <v>5</v>
      </c>
      <c r="L344">
        <v>25</v>
      </c>
      <c r="M344" t="s">
        <v>19</v>
      </c>
      <c r="N344">
        <f t="shared" si="10"/>
        <v>46</v>
      </c>
      <c r="O344" t="b">
        <f t="shared" si="11"/>
        <v>1</v>
      </c>
    </row>
    <row r="345" spans="1:15">
      <c r="A345" t="s">
        <v>514</v>
      </c>
      <c r="B345" s="2">
        <v>46192</v>
      </c>
      <c r="C345" t="s">
        <v>214</v>
      </c>
      <c r="D345" t="s">
        <v>15</v>
      </c>
      <c r="E345" t="s">
        <v>106</v>
      </c>
      <c r="F345" t="s">
        <v>17</v>
      </c>
      <c r="G345">
        <v>3</v>
      </c>
      <c r="H345" s="3">
        <v>15.95</v>
      </c>
      <c r="I345" s="3">
        <v>47.85</v>
      </c>
      <c r="J345" t="s">
        <v>18</v>
      </c>
      <c r="K345">
        <v>27</v>
      </c>
      <c r="L345">
        <v>12</v>
      </c>
      <c r="M345" t="s">
        <v>19</v>
      </c>
      <c r="N345">
        <f t="shared" si="10"/>
        <v>47.849999999999994</v>
      </c>
      <c r="O345" t="b">
        <f t="shared" si="11"/>
        <v>1</v>
      </c>
    </row>
    <row r="346" spans="1:15">
      <c r="A346" t="s">
        <v>515</v>
      </c>
      <c r="B346" s="2">
        <v>46277</v>
      </c>
      <c r="C346" t="s">
        <v>150</v>
      </c>
      <c r="D346" t="s">
        <v>15</v>
      </c>
      <c r="E346" t="s">
        <v>30</v>
      </c>
      <c r="F346" t="s">
        <v>31</v>
      </c>
      <c r="G346">
        <v>1</v>
      </c>
      <c r="H346" s="3">
        <v>8.5</v>
      </c>
      <c r="I346" s="3">
        <v>8.5</v>
      </c>
      <c r="J346" t="s">
        <v>27</v>
      </c>
      <c r="K346">
        <v>5</v>
      </c>
      <c r="L346">
        <v>14</v>
      </c>
      <c r="M346" t="s">
        <v>19</v>
      </c>
      <c r="N346">
        <f t="shared" si="10"/>
        <v>8.5</v>
      </c>
      <c r="O346" t="b">
        <f t="shared" si="11"/>
        <v>1</v>
      </c>
    </row>
    <row r="347" spans="1:15">
      <c r="A347" t="s">
        <v>516</v>
      </c>
      <c r="B347" s="2">
        <v>46148</v>
      </c>
      <c r="C347" t="s">
        <v>212</v>
      </c>
      <c r="D347" t="s">
        <v>35</v>
      </c>
      <c r="E347" t="s">
        <v>36</v>
      </c>
      <c r="F347" t="s">
        <v>23</v>
      </c>
      <c r="G347">
        <v>1</v>
      </c>
      <c r="H347" s="3">
        <v>2.8</v>
      </c>
      <c r="I347" s="3">
        <v>2.8</v>
      </c>
      <c r="J347" t="s">
        <v>18</v>
      </c>
      <c r="K347">
        <v>9</v>
      </c>
      <c r="L347">
        <v>19</v>
      </c>
      <c r="M347" t="s">
        <v>19</v>
      </c>
      <c r="N347">
        <f t="shared" si="10"/>
        <v>2.8</v>
      </c>
      <c r="O347" t="b">
        <f t="shared" si="11"/>
        <v>1</v>
      </c>
    </row>
    <row r="348" spans="1:15">
      <c r="A348" t="s">
        <v>517</v>
      </c>
      <c r="B348" s="2">
        <v>46237</v>
      </c>
      <c r="C348" t="s">
        <v>202</v>
      </c>
      <c r="D348" t="s">
        <v>15</v>
      </c>
      <c r="E348" t="s">
        <v>36</v>
      </c>
      <c r="F348" t="s">
        <v>23</v>
      </c>
      <c r="G348">
        <v>2</v>
      </c>
      <c r="H348" s="3">
        <v>2.8</v>
      </c>
      <c r="I348" s="3">
        <v>5.6</v>
      </c>
      <c r="J348" t="s">
        <v>32</v>
      </c>
      <c r="K348">
        <v>18</v>
      </c>
      <c r="L348">
        <v>10</v>
      </c>
      <c r="M348" t="s">
        <v>19</v>
      </c>
      <c r="N348">
        <f t="shared" si="10"/>
        <v>5.6</v>
      </c>
      <c r="O348" t="b">
        <f t="shared" si="11"/>
        <v>1</v>
      </c>
    </row>
    <row r="349" spans="1:15">
      <c r="A349" t="s">
        <v>518</v>
      </c>
      <c r="B349" s="2">
        <v>46199</v>
      </c>
      <c r="C349" t="s">
        <v>519</v>
      </c>
      <c r="D349" t="s">
        <v>35</v>
      </c>
      <c r="E349" t="s">
        <v>46</v>
      </c>
      <c r="F349" t="s">
        <v>47</v>
      </c>
      <c r="G349">
        <v>1</v>
      </c>
      <c r="H349" s="3">
        <v>6.95</v>
      </c>
      <c r="I349" s="3">
        <v>6.95</v>
      </c>
      <c r="J349" t="s">
        <v>18</v>
      </c>
      <c r="K349">
        <v>11</v>
      </c>
      <c r="L349">
        <v>14</v>
      </c>
      <c r="M349" t="s">
        <v>19</v>
      </c>
      <c r="N349">
        <f t="shared" si="10"/>
        <v>6.95</v>
      </c>
      <c r="O349" t="b">
        <f t="shared" si="11"/>
        <v>1</v>
      </c>
    </row>
    <row r="350" spans="1:15">
      <c r="A350" t="s">
        <v>520</v>
      </c>
      <c r="B350" s="2">
        <v>46038</v>
      </c>
      <c r="C350" t="s">
        <v>263</v>
      </c>
      <c r="D350" t="s">
        <v>35</v>
      </c>
      <c r="E350" t="s">
        <v>103</v>
      </c>
      <c r="F350" t="s">
        <v>23</v>
      </c>
      <c r="G350">
        <v>1</v>
      </c>
      <c r="H350" s="3">
        <v>3.25</v>
      </c>
      <c r="I350" s="3">
        <v>-3.25</v>
      </c>
      <c r="J350" t="s">
        <v>27</v>
      </c>
      <c r="K350">
        <v>6</v>
      </c>
      <c r="L350">
        <v>9</v>
      </c>
      <c r="M350" t="s">
        <v>62</v>
      </c>
      <c r="N350">
        <f t="shared" si="10"/>
        <v>3.25</v>
      </c>
      <c r="O350" t="b">
        <f t="shared" si="11"/>
        <v>1</v>
      </c>
    </row>
    <row r="351" spans="1:15">
      <c r="A351" t="s">
        <v>521</v>
      </c>
      <c r="B351" s="2">
        <v>46146</v>
      </c>
      <c r="C351" t="s">
        <v>483</v>
      </c>
      <c r="D351" t="s">
        <v>15</v>
      </c>
      <c r="E351" t="s">
        <v>121</v>
      </c>
      <c r="F351" t="s">
        <v>23</v>
      </c>
      <c r="G351">
        <v>2</v>
      </c>
      <c r="H351" s="3">
        <v>6.5</v>
      </c>
      <c r="I351" s="3">
        <v>13</v>
      </c>
      <c r="J351" t="s">
        <v>53</v>
      </c>
      <c r="K351">
        <v>12</v>
      </c>
      <c r="L351">
        <v>6</v>
      </c>
      <c r="M351" t="s">
        <v>19</v>
      </c>
      <c r="N351">
        <f t="shared" si="10"/>
        <v>13</v>
      </c>
      <c r="O351" t="b">
        <f t="shared" si="11"/>
        <v>1</v>
      </c>
    </row>
    <row r="352" spans="1:15">
      <c r="A352" t="s">
        <v>522</v>
      </c>
      <c r="B352" s="2">
        <v>46111</v>
      </c>
      <c r="C352" t="s">
        <v>225</v>
      </c>
      <c r="D352" t="s">
        <v>15</v>
      </c>
      <c r="E352" t="s">
        <v>30</v>
      </c>
      <c r="F352" t="s">
        <v>31</v>
      </c>
      <c r="G352">
        <v>3</v>
      </c>
      <c r="H352" s="3">
        <v>8.5</v>
      </c>
      <c r="I352" s="3">
        <v>25.5</v>
      </c>
      <c r="J352" t="s">
        <v>18</v>
      </c>
      <c r="K352">
        <v>19</v>
      </c>
      <c r="L352">
        <v>14</v>
      </c>
      <c r="M352" t="s">
        <v>19</v>
      </c>
      <c r="N352">
        <f t="shared" si="10"/>
        <v>25.5</v>
      </c>
      <c r="O352" t="b">
        <f t="shared" si="11"/>
        <v>1</v>
      </c>
    </row>
    <row r="353" spans="1:15">
      <c r="A353" t="s">
        <v>523</v>
      </c>
      <c r="B353" s="2">
        <v>46119</v>
      </c>
      <c r="C353" t="s">
        <v>208</v>
      </c>
      <c r="D353" t="s">
        <v>35</v>
      </c>
      <c r="E353" t="s">
        <v>126</v>
      </c>
      <c r="F353" t="s">
        <v>31</v>
      </c>
      <c r="G353">
        <v>1</v>
      </c>
      <c r="H353" s="3">
        <v>7.95</v>
      </c>
      <c r="I353" s="3">
        <v>7.95</v>
      </c>
      <c r="J353" t="s">
        <v>27</v>
      </c>
      <c r="K353">
        <v>3</v>
      </c>
      <c r="L353">
        <v>14</v>
      </c>
      <c r="M353" t="s">
        <v>19</v>
      </c>
      <c r="N353">
        <f t="shared" si="10"/>
        <v>7.95</v>
      </c>
      <c r="O353" t="b">
        <f t="shared" si="11"/>
        <v>1</v>
      </c>
    </row>
    <row r="354" spans="1:15">
      <c r="A354" t="s">
        <v>524</v>
      </c>
      <c r="B354" s="2">
        <v>46135</v>
      </c>
      <c r="C354" t="s">
        <v>214</v>
      </c>
      <c r="D354" t="s">
        <v>15</v>
      </c>
      <c r="E354" t="s">
        <v>93</v>
      </c>
      <c r="F354" t="s">
        <v>31</v>
      </c>
      <c r="G354">
        <v>3</v>
      </c>
      <c r="H354" s="3">
        <v>6.25</v>
      </c>
      <c r="I354" s="3">
        <v>18.75</v>
      </c>
      <c r="J354" t="s">
        <v>53</v>
      </c>
      <c r="K354">
        <v>6</v>
      </c>
      <c r="L354">
        <v>17</v>
      </c>
      <c r="M354" t="s">
        <v>19</v>
      </c>
      <c r="N354">
        <f t="shared" si="10"/>
        <v>18.75</v>
      </c>
      <c r="O354" t="b">
        <f t="shared" si="11"/>
        <v>1</v>
      </c>
    </row>
    <row r="355" spans="1:15">
      <c r="A355" t="s">
        <v>525</v>
      </c>
      <c r="B355" s="2">
        <v>46188</v>
      </c>
      <c r="C355" t="s">
        <v>421</v>
      </c>
      <c r="D355" t="s">
        <v>15</v>
      </c>
      <c r="E355" t="s">
        <v>50</v>
      </c>
      <c r="F355" t="s">
        <v>17</v>
      </c>
      <c r="G355">
        <v>2</v>
      </c>
      <c r="H355" s="3">
        <v>14.5</v>
      </c>
      <c r="I355" s="3">
        <v>29</v>
      </c>
      <c r="J355" t="s">
        <v>18</v>
      </c>
      <c r="K355">
        <v>28</v>
      </c>
      <c r="L355">
        <v>10</v>
      </c>
      <c r="M355" t="s">
        <v>19</v>
      </c>
      <c r="N355">
        <f t="shared" si="10"/>
        <v>29</v>
      </c>
      <c r="O355" t="b">
        <f t="shared" si="11"/>
        <v>1</v>
      </c>
    </row>
    <row r="356" spans="1:15">
      <c r="A356" t="s">
        <v>526</v>
      </c>
      <c r="B356" s="2">
        <v>46060</v>
      </c>
      <c r="C356" t="s">
        <v>307</v>
      </c>
      <c r="D356" t="s">
        <v>15</v>
      </c>
      <c r="E356" t="s">
        <v>59</v>
      </c>
      <c r="F356" t="s">
        <v>17</v>
      </c>
      <c r="G356">
        <v>1</v>
      </c>
      <c r="H356" s="3">
        <v>11.95</v>
      </c>
      <c r="I356" s="3">
        <v>11.95</v>
      </c>
      <c r="J356" t="s">
        <v>32</v>
      </c>
      <c r="K356">
        <v>14</v>
      </c>
      <c r="L356">
        <v>18</v>
      </c>
      <c r="M356" t="s">
        <v>19</v>
      </c>
      <c r="N356">
        <f t="shared" si="10"/>
        <v>11.95</v>
      </c>
      <c r="O356" t="b">
        <f t="shared" si="11"/>
        <v>1</v>
      </c>
    </row>
    <row r="357" spans="1:15">
      <c r="A357" t="s">
        <v>527</v>
      </c>
      <c r="B357" s="2">
        <v>46272</v>
      </c>
      <c r="C357" t="s">
        <v>448</v>
      </c>
      <c r="D357" t="s">
        <v>35</v>
      </c>
      <c r="E357" t="s">
        <v>36</v>
      </c>
      <c r="F357" t="s">
        <v>23</v>
      </c>
      <c r="G357">
        <v>2</v>
      </c>
      <c r="H357" s="3">
        <v>2.8</v>
      </c>
      <c r="I357" s="3">
        <v>5.6</v>
      </c>
      <c r="J357" t="s">
        <v>18</v>
      </c>
      <c r="K357">
        <v>26</v>
      </c>
      <c r="L357">
        <v>15</v>
      </c>
      <c r="M357" t="s">
        <v>19</v>
      </c>
      <c r="N357">
        <f t="shared" si="10"/>
        <v>5.6</v>
      </c>
      <c r="O357" t="b">
        <f t="shared" si="11"/>
        <v>1</v>
      </c>
    </row>
    <row r="358" spans="1:15">
      <c r="A358" t="s">
        <v>528</v>
      </c>
      <c r="B358" s="2">
        <v>46112</v>
      </c>
      <c r="C358" t="s">
        <v>258</v>
      </c>
      <c r="D358" t="s">
        <v>15</v>
      </c>
      <c r="E358" t="s">
        <v>106</v>
      </c>
      <c r="F358" t="s">
        <v>17</v>
      </c>
      <c r="G358">
        <v>2</v>
      </c>
      <c r="H358" s="3">
        <v>15.95</v>
      </c>
      <c r="I358" s="3">
        <v>31.9</v>
      </c>
      <c r="J358" t="s">
        <v>53</v>
      </c>
      <c r="K358">
        <v>25</v>
      </c>
      <c r="L358">
        <v>21</v>
      </c>
      <c r="M358" t="s">
        <v>19</v>
      </c>
      <c r="N358">
        <f t="shared" si="10"/>
        <v>31.9</v>
      </c>
      <c r="O358" t="b">
        <f t="shared" si="11"/>
        <v>1</v>
      </c>
    </row>
    <row r="359" spans="1:15">
      <c r="A359" t="s">
        <v>529</v>
      </c>
      <c r="B359" s="2">
        <v>46039</v>
      </c>
      <c r="C359" t="s">
        <v>295</v>
      </c>
      <c r="D359" t="s">
        <v>15</v>
      </c>
      <c r="E359" t="s">
        <v>16</v>
      </c>
      <c r="F359" t="s">
        <v>17</v>
      </c>
      <c r="G359">
        <v>2</v>
      </c>
      <c r="H359" s="3">
        <v>9.9499999999999993</v>
      </c>
      <c r="I359" s="3">
        <v>19.899999999999999</v>
      </c>
      <c r="J359" t="s">
        <v>18</v>
      </c>
      <c r="K359">
        <v>30</v>
      </c>
      <c r="L359">
        <v>14</v>
      </c>
      <c r="M359" t="s">
        <v>19</v>
      </c>
      <c r="N359">
        <f t="shared" si="10"/>
        <v>19.899999999999999</v>
      </c>
      <c r="O359" t="b">
        <f t="shared" si="11"/>
        <v>1</v>
      </c>
    </row>
    <row r="360" spans="1:15">
      <c r="A360" t="s">
        <v>530</v>
      </c>
      <c r="B360" s="2">
        <v>46192</v>
      </c>
      <c r="C360" t="s">
        <v>245</v>
      </c>
      <c r="D360" t="s">
        <v>35</v>
      </c>
      <c r="E360" t="s">
        <v>93</v>
      </c>
      <c r="F360" t="s">
        <v>31</v>
      </c>
      <c r="G360">
        <v>1</v>
      </c>
      <c r="H360" s="3">
        <v>6.25</v>
      </c>
      <c r="I360" s="3">
        <v>6.25</v>
      </c>
      <c r="J360" t="s">
        <v>53</v>
      </c>
      <c r="K360">
        <v>24</v>
      </c>
      <c r="L360">
        <v>23</v>
      </c>
      <c r="M360" t="s">
        <v>19</v>
      </c>
      <c r="N360">
        <f t="shared" si="10"/>
        <v>6.25</v>
      </c>
      <c r="O360" t="b">
        <f t="shared" si="11"/>
        <v>1</v>
      </c>
    </row>
    <row r="361" spans="1:15">
      <c r="A361" t="s">
        <v>531</v>
      </c>
      <c r="B361" s="2">
        <v>46251</v>
      </c>
      <c r="C361" t="s">
        <v>21</v>
      </c>
      <c r="D361" t="s">
        <v>15</v>
      </c>
      <c r="E361" t="s">
        <v>39</v>
      </c>
      <c r="F361" t="s">
        <v>17</v>
      </c>
      <c r="G361">
        <v>1</v>
      </c>
      <c r="H361" s="3">
        <v>12.95</v>
      </c>
      <c r="I361" s="3">
        <v>12.95</v>
      </c>
      <c r="J361" t="s">
        <v>27</v>
      </c>
      <c r="K361">
        <v>24</v>
      </c>
      <c r="L361">
        <v>7</v>
      </c>
      <c r="M361" t="s">
        <v>19</v>
      </c>
      <c r="N361">
        <f t="shared" si="10"/>
        <v>12.95</v>
      </c>
      <c r="O361" t="b">
        <f t="shared" si="11"/>
        <v>1</v>
      </c>
    </row>
    <row r="362" spans="1:15">
      <c r="A362" t="s">
        <v>532</v>
      </c>
      <c r="B362" s="2">
        <v>46220</v>
      </c>
      <c r="C362" t="s">
        <v>148</v>
      </c>
      <c r="D362" t="s">
        <v>35</v>
      </c>
      <c r="E362" t="s">
        <v>78</v>
      </c>
      <c r="F362" t="s">
        <v>47</v>
      </c>
      <c r="G362">
        <v>1</v>
      </c>
      <c r="H362" s="3">
        <v>7.25</v>
      </c>
      <c r="I362" s="3">
        <v>7.25</v>
      </c>
      <c r="J362" t="s">
        <v>18</v>
      </c>
      <c r="K362">
        <v>27</v>
      </c>
      <c r="L362">
        <v>16</v>
      </c>
      <c r="M362" t="s">
        <v>19</v>
      </c>
      <c r="N362">
        <f t="shared" si="10"/>
        <v>7.25</v>
      </c>
      <c r="O362" t="b">
        <f t="shared" si="11"/>
        <v>1</v>
      </c>
    </row>
    <row r="363" spans="1:15">
      <c r="A363" t="s">
        <v>533</v>
      </c>
      <c r="B363" s="2">
        <v>46138</v>
      </c>
      <c r="C363" t="s">
        <v>251</v>
      </c>
      <c r="D363" t="s">
        <v>15</v>
      </c>
      <c r="E363" t="s">
        <v>126</v>
      </c>
      <c r="F363" t="s">
        <v>31</v>
      </c>
      <c r="G363">
        <v>1</v>
      </c>
      <c r="H363" s="3">
        <v>7.95</v>
      </c>
      <c r="I363" s="3">
        <v>7.95</v>
      </c>
      <c r="J363" t="s">
        <v>27</v>
      </c>
      <c r="K363">
        <v>4</v>
      </c>
      <c r="L363">
        <v>20</v>
      </c>
      <c r="M363" t="s">
        <v>19</v>
      </c>
      <c r="N363">
        <f t="shared" si="10"/>
        <v>7.95</v>
      </c>
      <c r="O363" t="b">
        <f t="shared" si="11"/>
        <v>1</v>
      </c>
    </row>
    <row r="364" spans="1:15">
      <c r="A364" t="s">
        <v>534</v>
      </c>
      <c r="B364" s="2">
        <v>46110</v>
      </c>
      <c r="C364" t="s">
        <v>448</v>
      </c>
      <c r="D364" t="s">
        <v>35</v>
      </c>
      <c r="E364" t="s">
        <v>39</v>
      </c>
      <c r="F364" t="s">
        <v>17</v>
      </c>
      <c r="G364">
        <v>1</v>
      </c>
      <c r="H364" s="3">
        <v>12.95</v>
      </c>
      <c r="I364" s="3">
        <v>12.95</v>
      </c>
      <c r="J364" t="s">
        <v>18</v>
      </c>
      <c r="K364">
        <v>29</v>
      </c>
      <c r="L364">
        <v>10</v>
      </c>
      <c r="M364" t="s">
        <v>19</v>
      </c>
      <c r="N364">
        <f t="shared" si="10"/>
        <v>12.95</v>
      </c>
      <c r="O364" t="b">
        <f t="shared" si="11"/>
        <v>1</v>
      </c>
    </row>
    <row r="365" spans="1:15">
      <c r="A365" t="s">
        <v>535</v>
      </c>
      <c r="B365" s="2">
        <v>46038</v>
      </c>
      <c r="C365" t="s">
        <v>112</v>
      </c>
      <c r="D365" t="s">
        <v>35</v>
      </c>
      <c r="E365" t="s">
        <v>56</v>
      </c>
      <c r="F365" t="s">
        <v>23</v>
      </c>
      <c r="G365">
        <v>3</v>
      </c>
      <c r="H365" s="3">
        <v>3.75</v>
      </c>
      <c r="I365" s="3">
        <v>11.25</v>
      </c>
      <c r="J365" t="s">
        <v>27</v>
      </c>
      <c r="K365">
        <v>2</v>
      </c>
      <c r="L365">
        <v>27</v>
      </c>
      <c r="M365" t="s">
        <v>19</v>
      </c>
      <c r="N365">
        <f t="shared" si="10"/>
        <v>11.25</v>
      </c>
      <c r="O365" t="b">
        <f t="shared" si="11"/>
        <v>1</v>
      </c>
    </row>
    <row r="366" spans="1:15">
      <c r="A366" t="s">
        <v>536</v>
      </c>
      <c r="B366" s="2">
        <v>46128</v>
      </c>
      <c r="C366" t="s">
        <v>506</v>
      </c>
      <c r="D366" t="s">
        <v>35</v>
      </c>
      <c r="E366" t="s">
        <v>36</v>
      </c>
      <c r="F366" t="s">
        <v>23</v>
      </c>
      <c r="G366">
        <v>2</v>
      </c>
      <c r="H366" s="3">
        <v>2.8</v>
      </c>
      <c r="I366" s="3">
        <v>5.6</v>
      </c>
      <c r="J366" t="s">
        <v>27</v>
      </c>
      <c r="K366">
        <v>10</v>
      </c>
      <c r="L366">
        <v>4</v>
      </c>
      <c r="M366" t="s">
        <v>19</v>
      </c>
      <c r="N366">
        <f t="shared" si="10"/>
        <v>5.6</v>
      </c>
      <c r="O366" t="b">
        <f t="shared" si="11"/>
        <v>1</v>
      </c>
    </row>
    <row r="367" spans="1:15">
      <c r="A367" t="s">
        <v>537</v>
      </c>
      <c r="B367" s="2">
        <v>46048</v>
      </c>
      <c r="C367" t="s">
        <v>139</v>
      </c>
      <c r="D367" t="s">
        <v>35</v>
      </c>
      <c r="E367" t="s">
        <v>50</v>
      </c>
      <c r="F367" t="s">
        <v>17</v>
      </c>
      <c r="G367">
        <v>1</v>
      </c>
      <c r="H367" s="3">
        <v>14.5</v>
      </c>
      <c r="I367" s="3">
        <v>14.5</v>
      </c>
      <c r="J367" t="s">
        <v>27</v>
      </c>
      <c r="K367">
        <v>14</v>
      </c>
      <c r="L367">
        <v>17</v>
      </c>
      <c r="M367" t="s">
        <v>19</v>
      </c>
      <c r="N367">
        <f t="shared" si="10"/>
        <v>14.5</v>
      </c>
      <c r="O367" t="b">
        <f t="shared" si="11"/>
        <v>1</v>
      </c>
    </row>
    <row r="368" spans="1:15">
      <c r="A368" t="s">
        <v>538</v>
      </c>
      <c r="B368" s="2">
        <v>46268</v>
      </c>
      <c r="C368" t="s">
        <v>483</v>
      </c>
      <c r="D368" t="s">
        <v>15</v>
      </c>
      <c r="E368" t="s">
        <v>106</v>
      </c>
      <c r="F368" t="s">
        <v>17</v>
      </c>
      <c r="G368">
        <v>2</v>
      </c>
      <c r="H368" s="3">
        <v>15.95</v>
      </c>
      <c r="I368" s="3">
        <v>31.9</v>
      </c>
      <c r="J368" t="s">
        <v>18</v>
      </c>
      <c r="K368">
        <v>26</v>
      </c>
      <c r="L368">
        <v>13</v>
      </c>
      <c r="M368" t="s">
        <v>19</v>
      </c>
      <c r="N368">
        <f t="shared" si="10"/>
        <v>31.9</v>
      </c>
      <c r="O368" t="b">
        <f t="shared" si="11"/>
        <v>1</v>
      </c>
    </row>
    <row r="369" spans="1:15">
      <c r="A369" t="s">
        <v>539</v>
      </c>
      <c r="B369" s="2">
        <v>46273</v>
      </c>
      <c r="C369" t="s">
        <v>387</v>
      </c>
      <c r="D369" t="s">
        <v>35</v>
      </c>
      <c r="E369" t="s">
        <v>36</v>
      </c>
      <c r="F369" t="s">
        <v>23</v>
      </c>
      <c r="G369">
        <v>1</v>
      </c>
      <c r="H369" s="3">
        <v>2.8</v>
      </c>
      <c r="I369" s="3">
        <v>2.8</v>
      </c>
      <c r="J369" t="s">
        <v>18</v>
      </c>
      <c r="K369">
        <v>29</v>
      </c>
      <c r="L369">
        <v>13</v>
      </c>
      <c r="M369" t="s">
        <v>19</v>
      </c>
      <c r="N369">
        <f t="shared" si="10"/>
        <v>2.8</v>
      </c>
      <c r="O369" t="b">
        <f t="shared" si="11"/>
        <v>1</v>
      </c>
    </row>
    <row r="370" spans="1:15">
      <c r="A370" t="s">
        <v>540</v>
      </c>
      <c r="B370" s="2">
        <v>46118</v>
      </c>
      <c r="C370" t="s">
        <v>541</v>
      </c>
      <c r="D370" t="s">
        <v>35</v>
      </c>
      <c r="E370" t="s">
        <v>96</v>
      </c>
      <c r="F370" t="s">
        <v>47</v>
      </c>
      <c r="G370">
        <v>1</v>
      </c>
      <c r="H370" s="3">
        <v>5.75</v>
      </c>
      <c r="I370" s="3">
        <v>5.75</v>
      </c>
      <c r="J370" t="s">
        <v>18</v>
      </c>
      <c r="K370">
        <v>23</v>
      </c>
      <c r="L370">
        <v>16</v>
      </c>
      <c r="M370" t="s">
        <v>19</v>
      </c>
      <c r="N370">
        <f t="shared" si="10"/>
        <v>5.75</v>
      </c>
      <c r="O370" t="b">
        <f t="shared" si="11"/>
        <v>1</v>
      </c>
    </row>
    <row r="371" spans="1:15">
      <c r="A371" t="s">
        <v>542</v>
      </c>
      <c r="B371" s="2">
        <v>46066</v>
      </c>
      <c r="C371" t="s">
        <v>145</v>
      </c>
      <c r="D371" t="s">
        <v>35</v>
      </c>
      <c r="E371" t="s">
        <v>121</v>
      </c>
      <c r="F371" t="s">
        <v>23</v>
      </c>
      <c r="G371">
        <v>1</v>
      </c>
      <c r="H371" s="3">
        <v>6.5</v>
      </c>
      <c r="I371" s="3">
        <v>6.5</v>
      </c>
      <c r="J371" t="s">
        <v>18</v>
      </c>
      <c r="K371">
        <v>27</v>
      </c>
      <c r="L371">
        <v>11</v>
      </c>
      <c r="M371" t="s">
        <v>19</v>
      </c>
      <c r="N371">
        <f t="shared" si="10"/>
        <v>6.5</v>
      </c>
      <c r="O371" t="b">
        <f t="shared" si="11"/>
        <v>1</v>
      </c>
    </row>
    <row r="372" spans="1:15">
      <c r="A372" t="s">
        <v>543</v>
      </c>
      <c r="B372" s="2">
        <v>46290</v>
      </c>
      <c r="C372" t="s">
        <v>130</v>
      </c>
      <c r="D372" t="s">
        <v>35</v>
      </c>
      <c r="E372" t="s">
        <v>103</v>
      </c>
      <c r="F372" t="s">
        <v>23</v>
      </c>
      <c r="G372">
        <v>1</v>
      </c>
      <c r="H372" s="3">
        <v>3.25</v>
      </c>
      <c r="I372" s="3">
        <v>3.25</v>
      </c>
      <c r="J372" t="s">
        <v>53</v>
      </c>
      <c r="K372">
        <v>29</v>
      </c>
      <c r="L372">
        <v>10</v>
      </c>
      <c r="M372" t="s">
        <v>19</v>
      </c>
      <c r="N372">
        <f t="shared" si="10"/>
        <v>3.25</v>
      </c>
      <c r="O372" t="b">
        <f t="shared" si="11"/>
        <v>1</v>
      </c>
    </row>
    <row r="373" spans="1:15">
      <c r="A373" t="s">
        <v>544</v>
      </c>
      <c r="B373" s="2">
        <v>46040</v>
      </c>
      <c r="C373" t="s">
        <v>193</v>
      </c>
      <c r="D373" t="s">
        <v>35</v>
      </c>
      <c r="E373" t="s">
        <v>56</v>
      </c>
      <c r="F373" t="s">
        <v>23</v>
      </c>
      <c r="G373">
        <v>1</v>
      </c>
      <c r="H373" s="3">
        <v>3.75</v>
      </c>
      <c r="I373" s="3">
        <v>0</v>
      </c>
      <c r="J373" t="s">
        <v>27</v>
      </c>
      <c r="K373">
        <v>15</v>
      </c>
      <c r="L373">
        <v>13</v>
      </c>
      <c r="M373" t="s">
        <v>152</v>
      </c>
      <c r="N373">
        <f t="shared" si="10"/>
        <v>3.75</v>
      </c>
      <c r="O373" t="b">
        <f t="shared" si="11"/>
        <v>1</v>
      </c>
    </row>
    <row r="374" spans="1:15">
      <c r="A374" t="s">
        <v>545</v>
      </c>
      <c r="B374" s="2">
        <v>46108</v>
      </c>
      <c r="C374" t="s">
        <v>85</v>
      </c>
      <c r="D374" t="s">
        <v>35</v>
      </c>
      <c r="E374" t="s">
        <v>83</v>
      </c>
      <c r="F374" t="s">
        <v>17</v>
      </c>
      <c r="G374">
        <v>1</v>
      </c>
      <c r="H374" s="3">
        <v>13.5</v>
      </c>
      <c r="I374" s="3">
        <v>13.5</v>
      </c>
      <c r="J374" t="s">
        <v>27</v>
      </c>
      <c r="K374">
        <v>21</v>
      </c>
      <c r="L374">
        <v>5</v>
      </c>
      <c r="M374" t="s">
        <v>19</v>
      </c>
      <c r="N374">
        <f t="shared" si="10"/>
        <v>13.5</v>
      </c>
      <c r="O374" t="b">
        <f t="shared" si="11"/>
        <v>1</v>
      </c>
    </row>
    <row r="375" spans="1:15">
      <c r="A375" t="s">
        <v>546</v>
      </c>
      <c r="B375" s="2">
        <v>46155</v>
      </c>
      <c r="C375" t="s">
        <v>322</v>
      </c>
      <c r="D375" t="s">
        <v>15</v>
      </c>
      <c r="E375" t="s">
        <v>46</v>
      </c>
      <c r="F375" t="s">
        <v>47</v>
      </c>
      <c r="G375">
        <v>1</v>
      </c>
      <c r="H375" s="3">
        <v>6.95</v>
      </c>
      <c r="I375" s="3">
        <v>6.95</v>
      </c>
      <c r="J375" t="s">
        <v>53</v>
      </c>
      <c r="K375">
        <v>11</v>
      </c>
      <c r="L375">
        <v>24</v>
      </c>
      <c r="M375" t="s">
        <v>19</v>
      </c>
      <c r="N375">
        <f t="shared" si="10"/>
        <v>6.95</v>
      </c>
      <c r="O375" t="b">
        <f t="shared" si="11"/>
        <v>1</v>
      </c>
    </row>
    <row r="376" spans="1:15">
      <c r="A376" t="s">
        <v>547</v>
      </c>
      <c r="B376" s="2">
        <v>46289</v>
      </c>
      <c r="C376" t="s">
        <v>314</v>
      </c>
      <c r="D376" t="s">
        <v>35</v>
      </c>
      <c r="E376" t="s">
        <v>56</v>
      </c>
      <c r="F376" t="s">
        <v>23</v>
      </c>
      <c r="G376">
        <v>2</v>
      </c>
      <c r="H376" s="3">
        <v>3.75</v>
      </c>
      <c r="I376" s="3">
        <v>7.5</v>
      </c>
      <c r="J376" t="s">
        <v>18</v>
      </c>
      <c r="K376">
        <v>19</v>
      </c>
      <c r="L376">
        <v>15</v>
      </c>
      <c r="M376" t="s">
        <v>19</v>
      </c>
      <c r="N376">
        <f t="shared" si="10"/>
        <v>7.5</v>
      </c>
      <c r="O376" t="b">
        <f t="shared" si="11"/>
        <v>1</v>
      </c>
    </row>
    <row r="377" spans="1:15">
      <c r="A377" t="s">
        <v>548</v>
      </c>
      <c r="B377" s="2">
        <v>46074</v>
      </c>
      <c r="C377" t="s">
        <v>82</v>
      </c>
      <c r="D377" t="s">
        <v>35</v>
      </c>
      <c r="E377" t="s">
        <v>126</v>
      </c>
      <c r="F377" t="s">
        <v>31</v>
      </c>
      <c r="G377">
        <v>2</v>
      </c>
      <c r="H377" s="3">
        <v>7.95</v>
      </c>
      <c r="I377" s="3">
        <v>15.9</v>
      </c>
      <c r="J377" t="s">
        <v>18</v>
      </c>
      <c r="K377">
        <v>29</v>
      </c>
      <c r="L377">
        <v>22</v>
      </c>
      <c r="M377" t="s">
        <v>19</v>
      </c>
      <c r="N377">
        <f t="shared" si="10"/>
        <v>15.9</v>
      </c>
      <c r="O377" t="b">
        <f t="shared" si="11"/>
        <v>1</v>
      </c>
    </row>
    <row r="378" spans="1:15">
      <c r="A378" t="s">
        <v>549</v>
      </c>
      <c r="B378" s="2">
        <v>46219</v>
      </c>
      <c r="C378" t="s">
        <v>193</v>
      </c>
      <c r="D378" t="s">
        <v>35</v>
      </c>
      <c r="E378" t="s">
        <v>103</v>
      </c>
      <c r="F378" t="s">
        <v>23</v>
      </c>
      <c r="G378">
        <v>1</v>
      </c>
      <c r="H378" s="3">
        <v>3.25</v>
      </c>
      <c r="I378" s="3">
        <v>3.25</v>
      </c>
      <c r="J378" t="s">
        <v>18</v>
      </c>
      <c r="K378">
        <v>22</v>
      </c>
      <c r="L378">
        <v>6</v>
      </c>
      <c r="M378" t="s">
        <v>19</v>
      </c>
      <c r="N378">
        <f t="shared" si="10"/>
        <v>3.25</v>
      </c>
      <c r="O378" t="b">
        <f t="shared" si="11"/>
        <v>1</v>
      </c>
    </row>
    <row r="379" spans="1:15">
      <c r="A379" t="s">
        <v>550</v>
      </c>
      <c r="B379" s="2">
        <v>46042</v>
      </c>
      <c r="C379" t="s">
        <v>551</v>
      </c>
      <c r="D379" t="s">
        <v>35</v>
      </c>
      <c r="E379" t="s">
        <v>16</v>
      </c>
      <c r="F379" t="s">
        <v>17</v>
      </c>
      <c r="G379">
        <v>1</v>
      </c>
      <c r="H379" s="3">
        <v>9.9499999999999993</v>
      </c>
      <c r="I379" s="3">
        <v>9.9499999999999993</v>
      </c>
      <c r="J379" t="s">
        <v>27</v>
      </c>
      <c r="K379">
        <v>30</v>
      </c>
      <c r="L379">
        <v>24</v>
      </c>
      <c r="M379" t="s">
        <v>19</v>
      </c>
      <c r="N379">
        <f t="shared" si="10"/>
        <v>9.9499999999999993</v>
      </c>
      <c r="O379" t="b">
        <f t="shared" si="11"/>
        <v>1</v>
      </c>
    </row>
    <row r="380" spans="1:15">
      <c r="A380" t="s">
        <v>552</v>
      </c>
      <c r="B380" s="2">
        <v>46213</v>
      </c>
      <c r="C380" t="s">
        <v>465</v>
      </c>
      <c r="D380" t="s">
        <v>15</v>
      </c>
      <c r="E380" t="s">
        <v>41</v>
      </c>
      <c r="F380" t="s">
        <v>31</v>
      </c>
      <c r="G380">
        <v>2</v>
      </c>
      <c r="H380" s="3">
        <v>5.5</v>
      </c>
      <c r="I380" s="3">
        <v>11</v>
      </c>
      <c r="J380" t="s">
        <v>27</v>
      </c>
      <c r="K380">
        <v>8</v>
      </c>
      <c r="L380">
        <v>9</v>
      </c>
      <c r="M380" t="s">
        <v>19</v>
      </c>
      <c r="N380">
        <f t="shared" si="10"/>
        <v>11</v>
      </c>
      <c r="O380" t="b">
        <f t="shared" si="11"/>
        <v>1</v>
      </c>
    </row>
    <row r="381" spans="1:15">
      <c r="A381" t="s">
        <v>553</v>
      </c>
      <c r="B381" s="2">
        <v>46249</v>
      </c>
      <c r="C381" t="s">
        <v>374</v>
      </c>
      <c r="D381" t="s">
        <v>35</v>
      </c>
      <c r="E381" t="s">
        <v>78</v>
      </c>
      <c r="F381" t="s">
        <v>47</v>
      </c>
      <c r="G381">
        <v>2</v>
      </c>
      <c r="H381" s="3">
        <v>7.25</v>
      </c>
      <c r="I381" s="3">
        <v>14.5</v>
      </c>
      <c r="J381" t="s">
        <v>18</v>
      </c>
      <c r="K381">
        <v>7</v>
      </c>
      <c r="L381">
        <v>5</v>
      </c>
      <c r="M381" t="s">
        <v>19</v>
      </c>
      <c r="N381">
        <f t="shared" si="10"/>
        <v>14.5</v>
      </c>
      <c r="O381" t="b">
        <f t="shared" si="11"/>
        <v>1</v>
      </c>
    </row>
    <row r="382" spans="1:15">
      <c r="A382" t="s">
        <v>554</v>
      </c>
      <c r="B382" s="2">
        <v>46231</v>
      </c>
      <c r="C382" t="s">
        <v>519</v>
      </c>
      <c r="D382" t="s">
        <v>35</v>
      </c>
      <c r="E382" t="s">
        <v>83</v>
      </c>
      <c r="F382" t="s">
        <v>17</v>
      </c>
      <c r="G382">
        <v>1</v>
      </c>
      <c r="H382" s="3">
        <v>13.5</v>
      </c>
      <c r="I382" s="3">
        <v>13.5</v>
      </c>
      <c r="J382" t="s">
        <v>27</v>
      </c>
      <c r="K382">
        <v>13</v>
      </c>
      <c r="L382">
        <v>28</v>
      </c>
      <c r="M382" t="s">
        <v>19</v>
      </c>
      <c r="N382">
        <f t="shared" si="10"/>
        <v>13.5</v>
      </c>
      <c r="O382" t="b">
        <f t="shared" si="11"/>
        <v>1</v>
      </c>
    </row>
    <row r="383" spans="1:15">
      <c r="A383" t="s">
        <v>555</v>
      </c>
      <c r="B383" s="2">
        <v>46291</v>
      </c>
      <c r="C383" t="s">
        <v>142</v>
      </c>
      <c r="D383" t="s">
        <v>35</v>
      </c>
      <c r="E383" t="s">
        <v>70</v>
      </c>
      <c r="F383" t="s">
        <v>17</v>
      </c>
      <c r="G383">
        <v>2</v>
      </c>
      <c r="H383" s="3">
        <v>12.5</v>
      </c>
      <c r="I383" s="3">
        <v>25</v>
      </c>
      <c r="J383" t="s">
        <v>27</v>
      </c>
      <c r="K383">
        <v>27</v>
      </c>
      <c r="L383">
        <v>23</v>
      </c>
      <c r="M383" t="s">
        <v>19</v>
      </c>
      <c r="N383">
        <f t="shared" si="10"/>
        <v>25</v>
      </c>
      <c r="O383" t="b">
        <f t="shared" si="11"/>
        <v>1</v>
      </c>
    </row>
    <row r="384" spans="1:15">
      <c r="A384" t="s">
        <v>556</v>
      </c>
      <c r="B384" s="2">
        <v>46039</v>
      </c>
      <c r="C384" t="s">
        <v>551</v>
      </c>
      <c r="D384" t="s">
        <v>35</v>
      </c>
      <c r="E384" t="s">
        <v>70</v>
      </c>
      <c r="F384" t="s">
        <v>17</v>
      </c>
      <c r="G384">
        <v>1</v>
      </c>
      <c r="H384" s="3">
        <v>12.5</v>
      </c>
      <c r="I384" s="3">
        <v>12.5</v>
      </c>
      <c r="J384" t="s">
        <v>18</v>
      </c>
      <c r="K384">
        <v>4</v>
      </c>
      <c r="L384">
        <v>11</v>
      </c>
      <c r="M384" t="s">
        <v>19</v>
      </c>
      <c r="N384">
        <f t="shared" si="10"/>
        <v>12.5</v>
      </c>
      <c r="O384" t="b">
        <f t="shared" si="11"/>
        <v>1</v>
      </c>
    </row>
    <row r="385" spans="1:15">
      <c r="A385" t="s">
        <v>557</v>
      </c>
      <c r="B385" s="2">
        <v>46146</v>
      </c>
      <c r="C385" t="s">
        <v>275</v>
      </c>
      <c r="D385" t="s">
        <v>15</v>
      </c>
      <c r="E385" t="s">
        <v>106</v>
      </c>
      <c r="F385" t="s">
        <v>17</v>
      </c>
      <c r="G385">
        <v>3</v>
      </c>
      <c r="H385" s="3">
        <v>15.95</v>
      </c>
      <c r="I385" s="3">
        <v>47.85</v>
      </c>
      <c r="J385" t="s">
        <v>18</v>
      </c>
      <c r="K385">
        <v>19</v>
      </c>
      <c r="L385">
        <v>15</v>
      </c>
      <c r="M385" t="s">
        <v>19</v>
      </c>
      <c r="N385">
        <f t="shared" si="10"/>
        <v>47.849999999999994</v>
      </c>
      <c r="O385" t="b">
        <f t="shared" si="11"/>
        <v>1</v>
      </c>
    </row>
    <row r="386" spans="1:15">
      <c r="A386" t="s">
        <v>558</v>
      </c>
      <c r="B386" s="2">
        <v>46199</v>
      </c>
      <c r="C386" t="s">
        <v>328</v>
      </c>
      <c r="D386" t="s">
        <v>15</v>
      </c>
      <c r="E386" t="s">
        <v>39</v>
      </c>
      <c r="F386" t="s">
        <v>17</v>
      </c>
      <c r="G386">
        <v>1</v>
      </c>
      <c r="H386" s="3">
        <v>12.95</v>
      </c>
      <c r="I386" s="3">
        <v>12.95</v>
      </c>
      <c r="J386" t="s">
        <v>53</v>
      </c>
      <c r="K386">
        <v>25</v>
      </c>
      <c r="L386">
        <v>27</v>
      </c>
      <c r="M386" t="s">
        <v>19</v>
      </c>
      <c r="N386">
        <f t="shared" ref="N386:N449" si="12">G386*H386</f>
        <v>12.95</v>
      </c>
      <c r="O386" t="b">
        <f t="shared" ref="O386:O449" si="13">OR(AND(M386="Completed",I386=N386),AND(M386="Refunded",ABS(I386)=N386),AND(M386="Cancelled",I386=0))</f>
        <v>1</v>
      </c>
    </row>
    <row r="387" spans="1:15">
      <c r="A387" t="s">
        <v>559</v>
      </c>
      <c r="B387" s="2">
        <v>46136</v>
      </c>
      <c r="C387" t="s">
        <v>114</v>
      </c>
      <c r="D387" t="s">
        <v>35</v>
      </c>
      <c r="E387" t="s">
        <v>41</v>
      </c>
      <c r="F387" t="s">
        <v>31</v>
      </c>
      <c r="G387">
        <v>2</v>
      </c>
      <c r="H387" s="3">
        <v>5.5</v>
      </c>
      <c r="I387" s="3">
        <v>11</v>
      </c>
      <c r="J387" t="s">
        <v>53</v>
      </c>
      <c r="K387">
        <v>1</v>
      </c>
      <c r="L387">
        <v>23</v>
      </c>
      <c r="M387" t="s">
        <v>19</v>
      </c>
      <c r="N387">
        <f t="shared" si="12"/>
        <v>11</v>
      </c>
      <c r="O387" t="b">
        <f t="shared" si="13"/>
        <v>1</v>
      </c>
    </row>
    <row r="388" spans="1:15">
      <c r="A388" t="s">
        <v>560</v>
      </c>
      <c r="B388" s="2">
        <v>46027</v>
      </c>
      <c r="C388" t="s">
        <v>110</v>
      </c>
      <c r="D388" t="s">
        <v>35</v>
      </c>
      <c r="E388" t="s">
        <v>106</v>
      </c>
      <c r="F388" t="s">
        <v>17</v>
      </c>
      <c r="G388">
        <v>2</v>
      </c>
      <c r="H388" s="3">
        <v>15.95</v>
      </c>
      <c r="I388" s="3">
        <v>31.9</v>
      </c>
      <c r="J388" t="s">
        <v>18</v>
      </c>
      <c r="K388">
        <v>10</v>
      </c>
      <c r="L388">
        <v>21</v>
      </c>
      <c r="M388" t="s">
        <v>19</v>
      </c>
      <c r="N388">
        <f t="shared" si="12"/>
        <v>31.9</v>
      </c>
      <c r="O388" t="b">
        <f t="shared" si="13"/>
        <v>1</v>
      </c>
    </row>
    <row r="389" spans="1:15">
      <c r="A389" t="s">
        <v>561</v>
      </c>
      <c r="B389" s="2">
        <v>46163</v>
      </c>
      <c r="C389" t="s">
        <v>180</v>
      </c>
      <c r="D389" t="s">
        <v>35</v>
      </c>
      <c r="E389" t="s">
        <v>96</v>
      </c>
      <c r="F389" t="s">
        <v>47</v>
      </c>
      <c r="G389">
        <v>1</v>
      </c>
      <c r="H389" s="3">
        <v>5.75</v>
      </c>
      <c r="I389" s="3">
        <v>5.75</v>
      </c>
      <c r="J389" t="s">
        <v>18</v>
      </c>
      <c r="K389">
        <v>10</v>
      </c>
      <c r="L389">
        <v>28</v>
      </c>
      <c r="M389" t="s">
        <v>19</v>
      </c>
      <c r="N389">
        <f t="shared" si="12"/>
        <v>5.75</v>
      </c>
      <c r="O389" t="b">
        <f t="shared" si="13"/>
        <v>1</v>
      </c>
    </row>
    <row r="390" spans="1:15">
      <c r="A390" t="s">
        <v>562</v>
      </c>
      <c r="B390" s="2">
        <v>46226</v>
      </c>
      <c r="C390" t="s">
        <v>400</v>
      </c>
      <c r="D390" t="s">
        <v>35</v>
      </c>
      <c r="E390" t="s">
        <v>30</v>
      </c>
      <c r="F390" t="s">
        <v>31</v>
      </c>
      <c r="G390">
        <v>1</v>
      </c>
      <c r="H390" s="3">
        <v>8.5</v>
      </c>
      <c r="I390" s="3">
        <v>8.5</v>
      </c>
      <c r="J390" t="s">
        <v>18</v>
      </c>
      <c r="K390">
        <v>4</v>
      </c>
      <c r="L390">
        <v>16</v>
      </c>
      <c r="M390" t="s">
        <v>19</v>
      </c>
      <c r="N390">
        <f t="shared" si="12"/>
        <v>8.5</v>
      </c>
      <c r="O390" t="b">
        <f t="shared" si="13"/>
        <v>1</v>
      </c>
    </row>
    <row r="391" spans="1:15">
      <c r="A391" t="s">
        <v>563</v>
      </c>
      <c r="B391" s="2">
        <v>46195</v>
      </c>
      <c r="C391" t="s">
        <v>271</v>
      </c>
      <c r="D391" t="s">
        <v>35</v>
      </c>
      <c r="E391" t="s">
        <v>41</v>
      </c>
      <c r="F391" t="s">
        <v>31</v>
      </c>
      <c r="G391">
        <v>1</v>
      </c>
      <c r="H391" s="3">
        <v>5.5</v>
      </c>
      <c r="I391" s="3">
        <v>5.5</v>
      </c>
      <c r="J391" t="s">
        <v>18</v>
      </c>
      <c r="K391">
        <v>29</v>
      </c>
      <c r="L391">
        <v>16</v>
      </c>
      <c r="M391" t="s">
        <v>19</v>
      </c>
      <c r="N391">
        <f t="shared" si="12"/>
        <v>5.5</v>
      </c>
      <c r="O391" t="b">
        <f t="shared" si="13"/>
        <v>1</v>
      </c>
    </row>
    <row r="392" spans="1:15">
      <c r="A392" t="s">
        <v>564</v>
      </c>
      <c r="B392" s="2">
        <v>46119</v>
      </c>
      <c r="C392" t="s">
        <v>355</v>
      </c>
      <c r="D392" t="s">
        <v>15</v>
      </c>
      <c r="E392" t="s">
        <v>56</v>
      </c>
      <c r="F392" t="s">
        <v>23</v>
      </c>
      <c r="G392">
        <v>1</v>
      </c>
      <c r="H392" s="3">
        <v>3.75</v>
      </c>
      <c r="I392" s="3">
        <v>3.75</v>
      </c>
      <c r="J392" t="s">
        <v>18</v>
      </c>
      <c r="K392">
        <v>21</v>
      </c>
      <c r="L392">
        <v>4</v>
      </c>
      <c r="M392" t="s">
        <v>19</v>
      </c>
      <c r="N392">
        <f t="shared" si="12"/>
        <v>3.75</v>
      </c>
      <c r="O392" t="b">
        <f t="shared" si="13"/>
        <v>1</v>
      </c>
    </row>
    <row r="393" spans="1:15">
      <c r="A393" t="s">
        <v>565</v>
      </c>
      <c r="B393" s="2">
        <v>46174</v>
      </c>
      <c r="C393" t="s">
        <v>398</v>
      </c>
      <c r="D393" t="s">
        <v>15</v>
      </c>
      <c r="E393" t="s">
        <v>46</v>
      </c>
      <c r="F393" t="s">
        <v>47</v>
      </c>
      <c r="G393">
        <v>2</v>
      </c>
      <c r="H393" s="3">
        <v>6.95</v>
      </c>
      <c r="I393" s="3">
        <v>13.9</v>
      </c>
      <c r="J393" t="s">
        <v>53</v>
      </c>
      <c r="K393">
        <v>23</v>
      </c>
      <c r="L393">
        <v>7</v>
      </c>
      <c r="M393" t="s">
        <v>19</v>
      </c>
      <c r="N393">
        <f t="shared" si="12"/>
        <v>13.9</v>
      </c>
      <c r="O393" t="b">
        <f t="shared" si="13"/>
        <v>1</v>
      </c>
    </row>
    <row r="394" spans="1:15">
      <c r="A394" t="s">
        <v>566</v>
      </c>
      <c r="B394" s="2">
        <v>46120</v>
      </c>
      <c r="C394" t="s">
        <v>395</v>
      </c>
      <c r="D394" t="s">
        <v>15</v>
      </c>
      <c r="E394" t="s">
        <v>36</v>
      </c>
      <c r="F394" t="s">
        <v>23</v>
      </c>
      <c r="G394">
        <v>2</v>
      </c>
      <c r="H394" s="3">
        <v>2.8</v>
      </c>
      <c r="I394" s="3">
        <v>5.6</v>
      </c>
      <c r="J394" t="s">
        <v>27</v>
      </c>
      <c r="K394">
        <v>17</v>
      </c>
      <c r="L394">
        <v>16</v>
      </c>
      <c r="M394" t="s">
        <v>19</v>
      </c>
      <c r="N394">
        <f t="shared" si="12"/>
        <v>5.6</v>
      </c>
      <c r="O394" t="b">
        <f t="shared" si="13"/>
        <v>1</v>
      </c>
    </row>
    <row r="395" spans="1:15">
      <c r="A395" t="s">
        <v>567</v>
      </c>
      <c r="B395" s="2">
        <v>46110</v>
      </c>
      <c r="C395" t="s">
        <v>89</v>
      </c>
      <c r="D395" t="s">
        <v>35</v>
      </c>
      <c r="E395" t="s">
        <v>126</v>
      </c>
      <c r="F395" t="s">
        <v>31</v>
      </c>
      <c r="G395">
        <v>1</v>
      </c>
      <c r="H395" s="3">
        <v>7.95</v>
      </c>
      <c r="I395" s="3">
        <v>7.95</v>
      </c>
      <c r="J395" t="s">
        <v>27</v>
      </c>
      <c r="K395">
        <v>24</v>
      </c>
      <c r="L395">
        <v>15</v>
      </c>
      <c r="M395" t="s">
        <v>19</v>
      </c>
      <c r="N395">
        <f t="shared" si="12"/>
        <v>7.95</v>
      </c>
      <c r="O395" t="b">
        <f t="shared" si="13"/>
        <v>1</v>
      </c>
    </row>
    <row r="396" spans="1:15">
      <c r="A396" t="s">
        <v>568</v>
      </c>
      <c r="B396" s="2">
        <v>46116</v>
      </c>
      <c r="C396" t="s">
        <v>64</v>
      </c>
      <c r="D396" t="s">
        <v>35</v>
      </c>
      <c r="E396" t="s">
        <v>39</v>
      </c>
      <c r="F396" t="s">
        <v>17</v>
      </c>
      <c r="G396">
        <v>1</v>
      </c>
      <c r="H396" s="3">
        <v>12.95</v>
      </c>
      <c r="I396" s="3">
        <v>12.95</v>
      </c>
      <c r="J396" t="s">
        <v>53</v>
      </c>
      <c r="K396">
        <v>26</v>
      </c>
      <c r="L396">
        <v>19</v>
      </c>
      <c r="M396" t="s">
        <v>19</v>
      </c>
      <c r="N396">
        <f t="shared" si="12"/>
        <v>12.95</v>
      </c>
      <c r="O396" t="b">
        <f t="shared" si="13"/>
        <v>1</v>
      </c>
    </row>
    <row r="397" spans="1:15">
      <c r="A397" t="s">
        <v>569</v>
      </c>
      <c r="B397" s="2">
        <v>46213</v>
      </c>
      <c r="C397" t="s">
        <v>425</v>
      </c>
      <c r="D397" t="s">
        <v>15</v>
      </c>
      <c r="E397" t="s">
        <v>59</v>
      </c>
      <c r="F397" t="s">
        <v>17</v>
      </c>
      <c r="G397">
        <v>1</v>
      </c>
      <c r="H397" s="3">
        <v>11.95</v>
      </c>
      <c r="I397" s="3">
        <v>11.95</v>
      </c>
      <c r="J397" t="s">
        <v>18</v>
      </c>
      <c r="K397">
        <v>19</v>
      </c>
      <c r="L397">
        <v>10</v>
      </c>
      <c r="M397" t="s">
        <v>19</v>
      </c>
      <c r="N397">
        <f t="shared" si="12"/>
        <v>11.95</v>
      </c>
      <c r="O397" t="b">
        <f t="shared" si="13"/>
        <v>1</v>
      </c>
    </row>
    <row r="398" spans="1:15">
      <c r="A398" t="s">
        <v>570</v>
      </c>
      <c r="B398" s="2">
        <v>46059</v>
      </c>
      <c r="C398" t="s">
        <v>75</v>
      </c>
      <c r="D398" t="s">
        <v>35</v>
      </c>
      <c r="E398" t="s">
        <v>59</v>
      </c>
      <c r="F398" t="s">
        <v>17</v>
      </c>
      <c r="G398">
        <v>2</v>
      </c>
      <c r="H398" s="3">
        <v>11.95</v>
      </c>
      <c r="I398" s="3">
        <v>23.9</v>
      </c>
      <c r="J398" t="s">
        <v>53</v>
      </c>
      <c r="K398">
        <v>28</v>
      </c>
      <c r="L398">
        <v>13</v>
      </c>
      <c r="M398" t="s">
        <v>19</v>
      </c>
      <c r="N398">
        <f t="shared" si="12"/>
        <v>23.9</v>
      </c>
      <c r="O398" t="b">
        <f t="shared" si="13"/>
        <v>1</v>
      </c>
    </row>
    <row r="399" spans="1:15">
      <c r="A399" t="s">
        <v>571</v>
      </c>
      <c r="B399" s="2">
        <v>46093</v>
      </c>
      <c r="C399" t="s">
        <v>173</v>
      </c>
      <c r="D399" t="s">
        <v>35</v>
      </c>
      <c r="E399" t="s">
        <v>121</v>
      </c>
      <c r="F399" t="s">
        <v>23</v>
      </c>
      <c r="G399">
        <v>3</v>
      </c>
      <c r="H399" s="3">
        <v>6.5</v>
      </c>
      <c r="I399" s="3">
        <v>19.5</v>
      </c>
      <c r="J399" t="s">
        <v>27</v>
      </c>
      <c r="K399">
        <v>5</v>
      </c>
      <c r="L399">
        <v>11</v>
      </c>
      <c r="M399" t="s">
        <v>19</v>
      </c>
      <c r="N399">
        <f t="shared" si="12"/>
        <v>19.5</v>
      </c>
      <c r="O399" t="b">
        <f t="shared" si="13"/>
        <v>1</v>
      </c>
    </row>
    <row r="400" spans="1:15">
      <c r="A400" t="s">
        <v>572</v>
      </c>
      <c r="B400" s="2">
        <v>46115</v>
      </c>
      <c r="C400" t="s">
        <v>180</v>
      </c>
      <c r="D400" t="s">
        <v>35</v>
      </c>
      <c r="E400" t="s">
        <v>106</v>
      </c>
      <c r="F400" t="s">
        <v>17</v>
      </c>
      <c r="G400">
        <v>1</v>
      </c>
      <c r="H400" s="3">
        <v>15.95</v>
      </c>
      <c r="I400" s="3">
        <v>15.95</v>
      </c>
      <c r="J400" t="s">
        <v>32</v>
      </c>
      <c r="K400">
        <v>25</v>
      </c>
      <c r="L400">
        <v>24</v>
      </c>
      <c r="M400" t="s">
        <v>19</v>
      </c>
      <c r="N400">
        <f t="shared" si="12"/>
        <v>15.95</v>
      </c>
      <c r="O400" t="b">
        <f t="shared" si="13"/>
        <v>1</v>
      </c>
    </row>
    <row r="401" spans="1:15">
      <c r="A401" t="s">
        <v>573</v>
      </c>
      <c r="B401" s="2">
        <v>46104</v>
      </c>
      <c r="C401" t="s">
        <v>142</v>
      </c>
      <c r="D401" t="s">
        <v>35</v>
      </c>
      <c r="E401" t="s">
        <v>56</v>
      </c>
      <c r="F401" t="s">
        <v>23</v>
      </c>
      <c r="G401">
        <v>1</v>
      </c>
      <c r="H401" s="3">
        <v>3.75</v>
      </c>
      <c r="I401" s="3">
        <v>3.75</v>
      </c>
      <c r="J401" t="s">
        <v>18</v>
      </c>
      <c r="K401">
        <v>13</v>
      </c>
      <c r="L401">
        <v>13</v>
      </c>
      <c r="M401" t="s">
        <v>19</v>
      </c>
      <c r="N401">
        <f t="shared" si="12"/>
        <v>3.75</v>
      </c>
      <c r="O401" t="b">
        <f t="shared" si="13"/>
        <v>1</v>
      </c>
    </row>
    <row r="402" spans="1:15">
      <c r="A402" t="s">
        <v>574</v>
      </c>
      <c r="B402" s="2">
        <v>46267</v>
      </c>
      <c r="C402" t="s">
        <v>400</v>
      </c>
      <c r="D402" t="s">
        <v>35</v>
      </c>
      <c r="E402" t="s">
        <v>70</v>
      </c>
      <c r="F402" t="s">
        <v>17</v>
      </c>
      <c r="G402">
        <v>2</v>
      </c>
      <c r="H402" s="3">
        <v>12.5</v>
      </c>
      <c r="I402" s="3">
        <v>25</v>
      </c>
      <c r="J402" t="s">
        <v>27</v>
      </c>
      <c r="K402">
        <v>17</v>
      </c>
      <c r="L402">
        <v>27</v>
      </c>
      <c r="M402" t="s">
        <v>19</v>
      </c>
      <c r="N402">
        <f t="shared" si="12"/>
        <v>25</v>
      </c>
      <c r="O402" t="b">
        <f t="shared" si="13"/>
        <v>1</v>
      </c>
    </row>
    <row r="403" spans="1:15">
      <c r="A403" t="s">
        <v>575</v>
      </c>
      <c r="B403" s="2">
        <v>46025</v>
      </c>
      <c r="C403" t="s">
        <v>116</v>
      </c>
      <c r="D403" t="s">
        <v>35</v>
      </c>
      <c r="E403" t="s">
        <v>30</v>
      </c>
      <c r="F403" t="s">
        <v>31</v>
      </c>
      <c r="G403">
        <v>1</v>
      </c>
      <c r="H403" s="3">
        <v>8.5</v>
      </c>
      <c r="I403" s="3">
        <v>8.5</v>
      </c>
      <c r="J403" t="s">
        <v>18</v>
      </c>
      <c r="K403">
        <v>13</v>
      </c>
      <c r="L403">
        <v>13</v>
      </c>
      <c r="M403" t="s">
        <v>19</v>
      </c>
      <c r="N403">
        <f t="shared" si="12"/>
        <v>8.5</v>
      </c>
      <c r="O403" t="b">
        <f t="shared" si="13"/>
        <v>1</v>
      </c>
    </row>
    <row r="404" spans="1:15">
      <c r="A404" t="s">
        <v>576</v>
      </c>
      <c r="B404" s="2">
        <v>46179</v>
      </c>
      <c r="C404" t="s">
        <v>460</v>
      </c>
      <c r="D404" t="s">
        <v>15</v>
      </c>
      <c r="E404" t="s">
        <v>126</v>
      </c>
      <c r="F404" t="s">
        <v>31</v>
      </c>
      <c r="G404">
        <v>1</v>
      </c>
      <c r="H404" s="3">
        <v>7.95</v>
      </c>
      <c r="I404" s="3">
        <v>7.95</v>
      </c>
      <c r="J404" t="s">
        <v>18</v>
      </c>
      <c r="K404">
        <v>29</v>
      </c>
      <c r="L404">
        <v>11</v>
      </c>
      <c r="M404" t="s">
        <v>19</v>
      </c>
      <c r="N404">
        <f t="shared" si="12"/>
        <v>7.95</v>
      </c>
      <c r="O404" t="b">
        <f t="shared" si="13"/>
        <v>1</v>
      </c>
    </row>
    <row r="405" spans="1:15">
      <c r="A405" t="s">
        <v>577</v>
      </c>
      <c r="B405" s="2">
        <v>46091</v>
      </c>
      <c r="C405" t="s">
        <v>77</v>
      </c>
      <c r="D405" t="s">
        <v>15</v>
      </c>
      <c r="E405" t="s">
        <v>70</v>
      </c>
      <c r="F405" t="s">
        <v>17</v>
      </c>
      <c r="G405">
        <v>1</v>
      </c>
      <c r="H405" s="3">
        <v>12.5</v>
      </c>
      <c r="I405" s="3">
        <v>12.5</v>
      </c>
      <c r="J405" t="s">
        <v>27</v>
      </c>
      <c r="K405">
        <v>1</v>
      </c>
      <c r="L405">
        <v>12</v>
      </c>
      <c r="M405" t="s">
        <v>19</v>
      </c>
      <c r="N405">
        <f t="shared" si="12"/>
        <v>12.5</v>
      </c>
      <c r="O405" t="b">
        <f t="shared" si="13"/>
        <v>1</v>
      </c>
    </row>
    <row r="406" spans="1:15">
      <c r="A406" t="s">
        <v>578</v>
      </c>
      <c r="B406" s="2">
        <v>46090</v>
      </c>
      <c r="C406" t="s">
        <v>391</v>
      </c>
      <c r="D406" t="s">
        <v>15</v>
      </c>
      <c r="E406" t="s">
        <v>22</v>
      </c>
      <c r="F406" t="s">
        <v>23</v>
      </c>
      <c r="G406">
        <v>1</v>
      </c>
      <c r="H406" s="3">
        <v>3.1</v>
      </c>
      <c r="I406" s="3">
        <v>3.1</v>
      </c>
      <c r="J406" t="s">
        <v>53</v>
      </c>
      <c r="K406">
        <v>13</v>
      </c>
      <c r="L406">
        <v>6</v>
      </c>
      <c r="M406" t="s">
        <v>19</v>
      </c>
      <c r="N406">
        <f t="shared" si="12"/>
        <v>3.1</v>
      </c>
      <c r="O406" t="b">
        <f t="shared" si="13"/>
        <v>1</v>
      </c>
    </row>
    <row r="407" spans="1:15">
      <c r="A407" t="s">
        <v>579</v>
      </c>
      <c r="B407" s="2">
        <v>46153</v>
      </c>
      <c r="C407" t="s">
        <v>191</v>
      </c>
      <c r="D407" t="s">
        <v>35</v>
      </c>
      <c r="E407" t="s">
        <v>56</v>
      </c>
      <c r="F407" t="s">
        <v>23</v>
      </c>
      <c r="G407">
        <v>4</v>
      </c>
      <c r="H407" s="3">
        <v>3.75</v>
      </c>
      <c r="I407" s="3">
        <v>15</v>
      </c>
      <c r="J407" t="s">
        <v>18</v>
      </c>
      <c r="K407">
        <v>4</v>
      </c>
      <c r="L407">
        <v>2</v>
      </c>
      <c r="M407" t="s">
        <v>19</v>
      </c>
      <c r="N407">
        <f t="shared" si="12"/>
        <v>15</v>
      </c>
      <c r="O407" t="b">
        <f t="shared" si="13"/>
        <v>1</v>
      </c>
    </row>
    <row r="408" spans="1:15">
      <c r="A408" t="s">
        <v>580</v>
      </c>
      <c r="B408" s="2">
        <v>46033</v>
      </c>
      <c r="C408" t="s">
        <v>352</v>
      </c>
      <c r="D408" t="s">
        <v>15</v>
      </c>
      <c r="E408" t="s">
        <v>96</v>
      </c>
      <c r="F408" t="s">
        <v>47</v>
      </c>
      <c r="G408">
        <v>1</v>
      </c>
      <c r="H408" s="3">
        <v>5.75</v>
      </c>
      <c r="I408" s="3">
        <v>5.75</v>
      </c>
      <c r="J408" t="s">
        <v>18</v>
      </c>
      <c r="K408">
        <v>7</v>
      </c>
      <c r="L408">
        <v>15</v>
      </c>
      <c r="M408" t="s">
        <v>19</v>
      </c>
      <c r="N408">
        <f t="shared" si="12"/>
        <v>5.75</v>
      </c>
      <c r="O408" t="b">
        <f t="shared" si="13"/>
        <v>1</v>
      </c>
    </row>
    <row r="409" spans="1:15">
      <c r="A409" t="s">
        <v>581</v>
      </c>
      <c r="B409" s="2">
        <v>46027</v>
      </c>
      <c r="C409" t="s">
        <v>154</v>
      </c>
      <c r="D409" t="s">
        <v>15</v>
      </c>
      <c r="E409" t="s">
        <v>22</v>
      </c>
      <c r="F409" t="s">
        <v>23</v>
      </c>
      <c r="G409">
        <v>1</v>
      </c>
      <c r="H409" s="3">
        <v>3.1</v>
      </c>
      <c r="I409" s="3">
        <v>3.1</v>
      </c>
      <c r="J409" t="s">
        <v>27</v>
      </c>
      <c r="K409">
        <v>23</v>
      </c>
      <c r="L409">
        <v>18</v>
      </c>
      <c r="M409" t="s">
        <v>19</v>
      </c>
      <c r="N409">
        <f t="shared" si="12"/>
        <v>3.1</v>
      </c>
      <c r="O409" t="b">
        <f t="shared" si="13"/>
        <v>1</v>
      </c>
    </row>
    <row r="410" spans="1:15">
      <c r="A410" t="s">
        <v>582</v>
      </c>
      <c r="B410" s="2">
        <v>46076</v>
      </c>
      <c r="C410" t="s">
        <v>82</v>
      </c>
      <c r="D410" t="s">
        <v>35</v>
      </c>
      <c r="E410" t="s">
        <v>126</v>
      </c>
      <c r="F410" t="s">
        <v>31</v>
      </c>
      <c r="G410">
        <v>1</v>
      </c>
      <c r="H410" s="3">
        <v>7.95</v>
      </c>
      <c r="I410" s="3">
        <v>7.95</v>
      </c>
      <c r="J410" t="s">
        <v>27</v>
      </c>
      <c r="K410">
        <v>25</v>
      </c>
      <c r="L410">
        <v>11</v>
      </c>
      <c r="M410" t="s">
        <v>19</v>
      </c>
      <c r="N410">
        <f t="shared" si="12"/>
        <v>7.95</v>
      </c>
      <c r="O410" t="b">
        <f t="shared" si="13"/>
        <v>1</v>
      </c>
    </row>
    <row r="411" spans="1:15">
      <c r="A411" t="s">
        <v>583</v>
      </c>
      <c r="B411" s="2">
        <v>46290</v>
      </c>
      <c r="C411" t="s">
        <v>551</v>
      </c>
      <c r="D411" t="s">
        <v>35</v>
      </c>
      <c r="E411" t="s">
        <v>78</v>
      </c>
      <c r="F411" t="s">
        <v>47</v>
      </c>
      <c r="G411">
        <v>1</v>
      </c>
      <c r="H411" s="3">
        <v>7.25</v>
      </c>
      <c r="I411" s="3">
        <v>7.25</v>
      </c>
      <c r="J411" t="s">
        <v>18</v>
      </c>
      <c r="K411">
        <v>18</v>
      </c>
      <c r="L411">
        <v>20</v>
      </c>
      <c r="M411" t="s">
        <v>19</v>
      </c>
      <c r="N411">
        <f t="shared" si="12"/>
        <v>7.25</v>
      </c>
      <c r="O411" t="b">
        <f t="shared" si="13"/>
        <v>1</v>
      </c>
    </row>
    <row r="412" spans="1:15">
      <c r="A412" t="s">
        <v>584</v>
      </c>
      <c r="B412" s="2">
        <v>46129</v>
      </c>
      <c r="C412" t="s">
        <v>180</v>
      </c>
      <c r="D412" t="s">
        <v>35</v>
      </c>
      <c r="E412" t="s">
        <v>16</v>
      </c>
      <c r="F412" t="s">
        <v>17</v>
      </c>
      <c r="G412">
        <v>1</v>
      </c>
      <c r="H412" s="3">
        <v>9.9499999999999993</v>
      </c>
      <c r="I412" s="3">
        <v>9.9499999999999993</v>
      </c>
      <c r="J412" t="s">
        <v>18</v>
      </c>
      <c r="K412">
        <v>19</v>
      </c>
      <c r="L412">
        <v>22</v>
      </c>
      <c r="M412" t="s">
        <v>19</v>
      </c>
      <c r="N412">
        <f t="shared" si="12"/>
        <v>9.9499999999999993</v>
      </c>
      <c r="O412" t="b">
        <f t="shared" si="13"/>
        <v>1</v>
      </c>
    </row>
    <row r="413" spans="1:15">
      <c r="A413" t="s">
        <v>585</v>
      </c>
      <c r="B413" s="2">
        <v>46099</v>
      </c>
      <c r="C413" t="s">
        <v>82</v>
      </c>
      <c r="D413" t="s">
        <v>35</v>
      </c>
      <c r="E413" t="s">
        <v>59</v>
      </c>
      <c r="F413" t="s">
        <v>17</v>
      </c>
      <c r="G413">
        <v>3</v>
      </c>
      <c r="H413" s="3">
        <v>11.95</v>
      </c>
      <c r="I413" s="3">
        <v>35.85</v>
      </c>
      <c r="J413" t="s">
        <v>18</v>
      </c>
      <c r="K413">
        <v>8</v>
      </c>
      <c r="L413">
        <v>21</v>
      </c>
      <c r="M413" t="s">
        <v>19</v>
      </c>
      <c r="N413">
        <f t="shared" si="12"/>
        <v>35.849999999999994</v>
      </c>
      <c r="O413" t="b">
        <f t="shared" si="13"/>
        <v>1</v>
      </c>
    </row>
    <row r="414" spans="1:15">
      <c r="A414" t="s">
        <v>586</v>
      </c>
      <c r="B414" s="2">
        <v>46174</v>
      </c>
      <c r="C414" t="s">
        <v>322</v>
      </c>
      <c r="D414" t="s">
        <v>15</v>
      </c>
      <c r="E414" t="s">
        <v>106</v>
      </c>
      <c r="F414" t="s">
        <v>17</v>
      </c>
      <c r="G414">
        <v>2</v>
      </c>
      <c r="H414" s="3">
        <v>15.95</v>
      </c>
      <c r="I414" s="3">
        <v>31.9</v>
      </c>
      <c r="J414" t="s">
        <v>18</v>
      </c>
      <c r="K414">
        <v>14</v>
      </c>
      <c r="L414">
        <v>10</v>
      </c>
      <c r="M414" t="s">
        <v>19</v>
      </c>
      <c r="N414">
        <f t="shared" si="12"/>
        <v>31.9</v>
      </c>
      <c r="O414" t="b">
        <f t="shared" si="13"/>
        <v>1</v>
      </c>
    </row>
    <row r="415" spans="1:15">
      <c r="A415" t="s">
        <v>587</v>
      </c>
      <c r="B415" s="2">
        <v>46071</v>
      </c>
      <c r="C415" t="s">
        <v>95</v>
      </c>
      <c r="D415" t="s">
        <v>35</v>
      </c>
      <c r="E415" t="s">
        <v>50</v>
      </c>
      <c r="F415" t="s">
        <v>17</v>
      </c>
      <c r="G415">
        <v>2</v>
      </c>
      <c r="H415" s="3">
        <v>14.5</v>
      </c>
      <c r="I415" s="3">
        <v>29</v>
      </c>
      <c r="J415" t="s">
        <v>18</v>
      </c>
      <c r="K415">
        <v>11</v>
      </c>
      <c r="L415">
        <v>26</v>
      </c>
      <c r="M415" t="s">
        <v>19</v>
      </c>
      <c r="N415">
        <f t="shared" si="12"/>
        <v>29</v>
      </c>
      <c r="O415" t="b">
        <f t="shared" si="13"/>
        <v>1</v>
      </c>
    </row>
    <row r="416" spans="1:15">
      <c r="A416" t="s">
        <v>588</v>
      </c>
      <c r="B416" s="2">
        <v>46247</v>
      </c>
      <c r="C416" t="s">
        <v>551</v>
      </c>
      <c r="D416" t="s">
        <v>35</v>
      </c>
      <c r="E416" t="s">
        <v>39</v>
      </c>
      <c r="F416" t="s">
        <v>17</v>
      </c>
      <c r="G416">
        <v>1</v>
      </c>
      <c r="H416" s="3">
        <v>12.95</v>
      </c>
      <c r="I416" s="3">
        <v>12.95</v>
      </c>
      <c r="J416" t="s">
        <v>27</v>
      </c>
      <c r="K416">
        <v>15</v>
      </c>
      <c r="L416">
        <v>22</v>
      </c>
      <c r="M416" t="s">
        <v>19</v>
      </c>
      <c r="N416">
        <f t="shared" si="12"/>
        <v>12.95</v>
      </c>
      <c r="O416" t="b">
        <f t="shared" si="13"/>
        <v>1</v>
      </c>
    </row>
    <row r="417" spans="1:15">
      <c r="A417" t="s">
        <v>589</v>
      </c>
      <c r="B417" s="2">
        <v>46220</v>
      </c>
      <c r="C417" t="s">
        <v>212</v>
      </c>
      <c r="D417" t="s">
        <v>35</v>
      </c>
      <c r="E417" t="s">
        <v>106</v>
      </c>
      <c r="F417" t="s">
        <v>17</v>
      </c>
      <c r="G417">
        <v>1</v>
      </c>
      <c r="H417" s="3">
        <v>15.95</v>
      </c>
      <c r="I417" s="3">
        <v>15.95</v>
      </c>
      <c r="J417" t="s">
        <v>27</v>
      </c>
      <c r="K417">
        <v>24</v>
      </c>
      <c r="L417">
        <v>25</v>
      </c>
      <c r="M417" t="s">
        <v>19</v>
      </c>
      <c r="N417">
        <f t="shared" si="12"/>
        <v>15.95</v>
      </c>
      <c r="O417" t="b">
        <f t="shared" si="13"/>
        <v>1</v>
      </c>
    </row>
    <row r="418" spans="1:15">
      <c r="A418" t="s">
        <v>590</v>
      </c>
      <c r="B418" s="2">
        <v>46104</v>
      </c>
      <c r="C418" t="s">
        <v>275</v>
      </c>
      <c r="D418" t="s">
        <v>15</v>
      </c>
      <c r="E418" t="s">
        <v>121</v>
      </c>
      <c r="F418" t="s">
        <v>23</v>
      </c>
      <c r="G418">
        <v>2</v>
      </c>
      <c r="H418" s="3">
        <v>6.5</v>
      </c>
      <c r="I418" s="3">
        <v>13</v>
      </c>
      <c r="J418" t="s">
        <v>27</v>
      </c>
      <c r="K418">
        <v>20</v>
      </c>
      <c r="L418">
        <v>2</v>
      </c>
      <c r="M418" t="s">
        <v>19</v>
      </c>
      <c r="N418">
        <f t="shared" si="12"/>
        <v>13</v>
      </c>
      <c r="O418" t="b">
        <f t="shared" si="13"/>
        <v>1</v>
      </c>
    </row>
    <row r="419" spans="1:15">
      <c r="A419" t="s">
        <v>591</v>
      </c>
      <c r="B419" s="2">
        <v>46089</v>
      </c>
      <c r="C419" t="s">
        <v>34</v>
      </c>
      <c r="D419" t="s">
        <v>35</v>
      </c>
      <c r="E419" t="s">
        <v>78</v>
      </c>
      <c r="F419" t="s">
        <v>47</v>
      </c>
      <c r="G419">
        <v>1</v>
      </c>
      <c r="H419" s="3">
        <v>7.25</v>
      </c>
      <c r="I419" s="3">
        <v>7.25</v>
      </c>
      <c r="J419" t="s">
        <v>18</v>
      </c>
      <c r="K419">
        <v>9</v>
      </c>
      <c r="L419">
        <v>13</v>
      </c>
      <c r="M419" t="s">
        <v>19</v>
      </c>
      <c r="N419">
        <f t="shared" si="12"/>
        <v>7.25</v>
      </c>
      <c r="O419" t="b">
        <f t="shared" si="13"/>
        <v>1</v>
      </c>
    </row>
    <row r="420" spans="1:15">
      <c r="A420" t="s">
        <v>592</v>
      </c>
      <c r="B420" s="2">
        <v>46029</v>
      </c>
      <c r="C420" t="s">
        <v>99</v>
      </c>
      <c r="D420" t="s">
        <v>35</v>
      </c>
      <c r="E420" t="s">
        <v>121</v>
      </c>
      <c r="F420" t="s">
        <v>23</v>
      </c>
      <c r="G420">
        <v>2</v>
      </c>
      <c r="H420" s="3">
        <v>6.5</v>
      </c>
      <c r="I420" s="3">
        <v>13</v>
      </c>
      <c r="J420" t="s">
        <v>18</v>
      </c>
      <c r="K420">
        <v>11</v>
      </c>
      <c r="L420">
        <v>21</v>
      </c>
      <c r="M420" t="s">
        <v>19</v>
      </c>
      <c r="N420">
        <f t="shared" si="12"/>
        <v>13</v>
      </c>
      <c r="O420" t="b">
        <f t="shared" si="13"/>
        <v>1</v>
      </c>
    </row>
    <row r="421" spans="1:15">
      <c r="A421" t="s">
        <v>593</v>
      </c>
      <c r="B421" s="2">
        <v>46071</v>
      </c>
      <c r="C421" t="s">
        <v>114</v>
      </c>
      <c r="D421" t="s">
        <v>35</v>
      </c>
      <c r="E421" t="s">
        <v>103</v>
      </c>
      <c r="F421" t="s">
        <v>23</v>
      </c>
      <c r="G421">
        <v>1</v>
      </c>
      <c r="H421" s="3">
        <v>3.25</v>
      </c>
      <c r="I421" s="3">
        <v>3.25</v>
      </c>
      <c r="J421" t="s">
        <v>18</v>
      </c>
      <c r="K421">
        <v>21</v>
      </c>
      <c r="L421">
        <v>11</v>
      </c>
      <c r="M421" t="s">
        <v>19</v>
      </c>
      <c r="N421">
        <f t="shared" si="12"/>
        <v>3.25</v>
      </c>
      <c r="O421" t="b">
        <f t="shared" si="13"/>
        <v>1</v>
      </c>
    </row>
    <row r="422" spans="1:15">
      <c r="A422" t="s">
        <v>594</v>
      </c>
      <c r="B422" s="2">
        <v>46050</v>
      </c>
      <c r="C422" t="s">
        <v>108</v>
      </c>
      <c r="D422" t="s">
        <v>15</v>
      </c>
      <c r="E422" t="s">
        <v>103</v>
      </c>
      <c r="F422" t="s">
        <v>23</v>
      </c>
      <c r="G422">
        <v>2</v>
      </c>
      <c r="H422" s="3">
        <v>3.25</v>
      </c>
      <c r="I422" s="3">
        <v>6.5</v>
      </c>
      <c r="J422" t="s">
        <v>27</v>
      </c>
      <c r="K422">
        <v>8</v>
      </c>
      <c r="L422">
        <v>15</v>
      </c>
      <c r="M422" t="s">
        <v>19</v>
      </c>
      <c r="N422">
        <f t="shared" si="12"/>
        <v>6.5</v>
      </c>
      <c r="O422" t="b">
        <f t="shared" si="13"/>
        <v>1</v>
      </c>
    </row>
    <row r="423" spans="1:15">
      <c r="A423" t="s">
        <v>595</v>
      </c>
      <c r="B423" s="2">
        <v>46165</v>
      </c>
      <c r="C423" t="s">
        <v>108</v>
      </c>
      <c r="D423" t="s">
        <v>15</v>
      </c>
      <c r="E423" t="s">
        <v>46</v>
      </c>
      <c r="F423" t="s">
        <v>47</v>
      </c>
      <c r="G423">
        <v>1</v>
      </c>
      <c r="H423" s="3">
        <v>6.95</v>
      </c>
      <c r="I423" s="3">
        <v>6.95</v>
      </c>
      <c r="J423" t="s">
        <v>18</v>
      </c>
      <c r="K423">
        <v>3</v>
      </c>
      <c r="L423">
        <v>19</v>
      </c>
      <c r="M423" t="s">
        <v>19</v>
      </c>
      <c r="N423">
        <f t="shared" si="12"/>
        <v>6.95</v>
      </c>
      <c r="O423" t="b">
        <f t="shared" si="13"/>
        <v>1</v>
      </c>
    </row>
    <row r="424" spans="1:15">
      <c r="A424" t="s">
        <v>596</v>
      </c>
      <c r="B424" s="2">
        <v>46252</v>
      </c>
      <c r="C424" t="s">
        <v>385</v>
      </c>
      <c r="D424" t="s">
        <v>15</v>
      </c>
      <c r="E424" t="s">
        <v>93</v>
      </c>
      <c r="F424" t="s">
        <v>31</v>
      </c>
      <c r="G424">
        <v>1</v>
      </c>
      <c r="H424" s="3">
        <v>6.25</v>
      </c>
      <c r="I424" s="3">
        <v>6.25</v>
      </c>
      <c r="J424" t="s">
        <v>18</v>
      </c>
      <c r="K424">
        <v>13</v>
      </c>
      <c r="L424">
        <v>15</v>
      </c>
      <c r="M424" t="s">
        <v>19</v>
      </c>
      <c r="N424">
        <f t="shared" si="12"/>
        <v>6.25</v>
      </c>
      <c r="O424" t="b">
        <f t="shared" si="13"/>
        <v>1</v>
      </c>
    </row>
    <row r="425" spans="1:15">
      <c r="A425" t="s">
        <v>597</v>
      </c>
      <c r="B425" s="2">
        <v>46023</v>
      </c>
      <c r="C425" t="s">
        <v>193</v>
      </c>
      <c r="D425" t="s">
        <v>35</v>
      </c>
      <c r="E425" t="s">
        <v>126</v>
      </c>
      <c r="F425" t="s">
        <v>31</v>
      </c>
      <c r="G425">
        <v>3</v>
      </c>
      <c r="H425" s="3">
        <v>7.95</v>
      </c>
      <c r="I425" s="3">
        <v>23.85</v>
      </c>
      <c r="J425" t="s">
        <v>18</v>
      </c>
      <c r="K425">
        <v>7</v>
      </c>
      <c r="L425">
        <v>18</v>
      </c>
      <c r="M425" t="s">
        <v>19</v>
      </c>
      <c r="N425">
        <f t="shared" si="12"/>
        <v>23.85</v>
      </c>
      <c r="O425" t="b">
        <f t="shared" si="13"/>
        <v>1</v>
      </c>
    </row>
    <row r="426" spans="1:15">
      <c r="A426" t="s">
        <v>598</v>
      </c>
      <c r="B426" s="2">
        <v>46256</v>
      </c>
      <c r="C426" t="s">
        <v>263</v>
      </c>
      <c r="D426" t="s">
        <v>35</v>
      </c>
      <c r="E426" t="s">
        <v>16</v>
      </c>
      <c r="F426" t="s">
        <v>17</v>
      </c>
      <c r="G426">
        <v>2</v>
      </c>
      <c r="H426" s="3">
        <v>9.9499999999999993</v>
      </c>
      <c r="I426" s="3">
        <v>19.899999999999999</v>
      </c>
      <c r="J426" t="s">
        <v>18</v>
      </c>
      <c r="K426">
        <v>16</v>
      </c>
      <c r="L426">
        <v>12</v>
      </c>
      <c r="M426" t="s">
        <v>19</v>
      </c>
      <c r="N426">
        <f t="shared" si="12"/>
        <v>19.899999999999999</v>
      </c>
      <c r="O426" t="b">
        <f t="shared" si="13"/>
        <v>1</v>
      </c>
    </row>
    <row r="427" spans="1:15">
      <c r="A427" t="s">
        <v>599</v>
      </c>
      <c r="B427" s="2">
        <v>46209</v>
      </c>
      <c r="C427" t="s">
        <v>265</v>
      </c>
      <c r="D427" t="s">
        <v>35</v>
      </c>
      <c r="E427" t="s">
        <v>16</v>
      </c>
      <c r="F427" t="s">
        <v>17</v>
      </c>
      <c r="G427">
        <v>1</v>
      </c>
      <c r="H427" s="3">
        <v>9.9499999999999993</v>
      </c>
      <c r="I427" s="3">
        <v>9.9499999999999993</v>
      </c>
      <c r="J427" t="s">
        <v>18</v>
      </c>
      <c r="K427">
        <v>27</v>
      </c>
      <c r="L427">
        <v>16</v>
      </c>
      <c r="M427" t="s">
        <v>19</v>
      </c>
      <c r="N427">
        <f t="shared" si="12"/>
        <v>9.9499999999999993</v>
      </c>
      <c r="O427" t="b">
        <f t="shared" si="13"/>
        <v>1</v>
      </c>
    </row>
    <row r="428" spans="1:15">
      <c r="A428" t="s">
        <v>600</v>
      </c>
      <c r="B428" s="2">
        <v>46172</v>
      </c>
      <c r="C428" t="s">
        <v>551</v>
      </c>
      <c r="D428" t="s">
        <v>35</v>
      </c>
      <c r="E428" t="s">
        <v>59</v>
      </c>
      <c r="F428" t="s">
        <v>17</v>
      </c>
      <c r="G428">
        <v>1</v>
      </c>
      <c r="H428" s="3">
        <v>11.95</v>
      </c>
      <c r="I428" s="3">
        <v>11.95</v>
      </c>
      <c r="J428" t="s">
        <v>18</v>
      </c>
      <c r="K428">
        <v>24</v>
      </c>
      <c r="L428">
        <v>8</v>
      </c>
      <c r="M428" t="s">
        <v>19</v>
      </c>
      <c r="N428">
        <f t="shared" si="12"/>
        <v>11.95</v>
      </c>
      <c r="O428" t="b">
        <f t="shared" si="13"/>
        <v>1</v>
      </c>
    </row>
    <row r="429" spans="1:15">
      <c r="A429" t="s">
        <v>601</v>
      </c>
      <c r="B429" s="2">
        <v>46077</v>
      </c>
      <c r="C429" t="s">
        <v>21</v>
      </c>
      <c r="D429" t="s">
        <v>15</v>
      </c>
      <c r="E429" t="s">
        <v>59</v>
      </c>
      <c r="F429" t="s">
        <v>17</v>
      </c>
      <c r="G429">
        <v>3</v>
      </c>
      <c r="H429" s="3">
        <v>11.95</v>
      </c>
      <c r="I429" s="3">
        <v>35.85</v>
      </c>
      <c r="J429" t="s">
        <v>18</v>
      </c>
      <c r="K429">
        <v>7</v>
      </c>
      <c r="L429">
        <v>16</v>
      </c>
      <c r="M429" t="s">
        <v>19</v>
      </c>
      <c r="N429">
        <f t="shared" si="12"/>
        <v>35.849999999999994</v>
      </c>
      <c r="O429" t="b">
        <f t="shared" si="13"/>
        <v>1</v>
      </c>
    </row>
    <row r="430" spans="1:15">
      <c r="A430" t="s">
        <v>602</v>
      </c>
      <c r="B430" s="2">
        <v>46120</v>
      </c>
      <c r="C430" t="s">
        <v>297</v>
      </c>
      <c r="D430" t="s">
        <v>35</v>
      </c>
      <c r="E430" t="s">
        <v>83</v>
      </c>
      <c r="F430" t="s">
        <v>17</v>
      </c>
      <c r="G430">
        <v>3</v>
      </c>
      <c r="H430" s="3">
        <v>13.5</v>
      </c>
      <c r="I430" s="3">
        <v>40.5</v>
      </c>
      <c r="J430" t="s">
        <v>18</v>
      </c>
      <c r="K430">
        <v>15</v>
      </c>
      <c r="L430">
        <v>11</v>
      </c>
      <c r="M430" t="s">
        <v>19</v>
      </c>
      <c r="N430">
        <f t="shared" si="12"/>
        <v>40.5</v>
      </c>
      <c r="O430" t="b">
        <f t="shared" si="13"/>
        <v>1</v>
      </c>
    </row>
    <row r="431" spans="1:15">
      <c r="A431" t="s">
        <v>603</v>
      </c>
      <c r="B431" s="2">
        <v>46281</v>
      </c>
      <c r="C431" t="s">
        <v>214</v>
      </c>
      <c r="D431" t="s">
        <v>15</v>
      </c>
      <c r="E431" t="s">
        <v>22</v>
      </c>
      <c r="F431" t="s">
        <v>23</v>
      </c>
      <c r="G431">
        <v>2</v>
      </c>
      <c r="H431" s="3">
        <v>3.1</v>
      </c>
      <c r="I431" s="3">
        <v>6.2</v>
      </c>
      <c r="J431" t="s">
        <v>18</v>
      </c>
      <c r="K431">
        <v>30</v>
      </c>
      <c r="L431">
        <v>3</v>
      </c>
      <c r="M431" t="s">
        <v>19</v>
      </c>
      <c r="N431">
        <f t="shared" si="12"/>
        <v>6.2</v>
      </c>
      <c r="O431" t="b">
        <f t="shared" si="13"/>
        <v>1</v>
      </c>
    </row>
    <row r="432" spans="1:15">
      <c r="A432" t="s">
        <v>604</v>
      </c>
      <c r="B432" s="2">
        <v>46270</v>
      </c>
      <c r="C432" t="s">
        <v>448</v>
      </c>
      <c r="D432" t="s">
        <v>35</v>
      </c>
      <c r="E432" t="s">
        <v>121</v>
      </c>
      <c r="F432" t="s">
        <v>23</v>
      </c>
      <c r="G432">
        <v>1</v>
      </c>
      <c r="H432" s="3">
        <v>6.5</v>
      </c>
      <c r="I432" s="3">
        <v>6.5</v>
      </c>
      <c r="J432" t="s">
        <v>53</v>
      </c>
      <c r="K432">
        <v>20</v>
      </c>
      <c r="L432">
        <v>19</v>
      </c>
      <c r="M432" t="s">
        <v>19</v>
      </c>
      <c r="N432">
        <f t="shared" si="12"/>
        <v>6.5</v>
      </c>
      <c r="O432" t="b">
        <f t="shared" si="13"/>
        <v>1</v>
      </c>
    </row>
    <row r="433" spans="1:15">
      <c r="A433" t="s">
        <v>605</v>
      </c>
      <c r="B433" s="2">
        <v>46281</v>
      </c>
      <c r="C433" t="s">
        <v>52</v>
      </c>
      <c r="D433" t="s">
        <v>35</v>
      </c>
      <c r="E433" t="s">
        <v>16</v>
      </c>
      <c r="F433" t="s">
        <v>17</v>
      </c>
      <c r="G433">
        <v>1</v>
      </c>
      <c r="H433" s="3">
        <v>9.9499999999999993</v>
      </c>
      <c r="I433" s="3">
        <v>9.9499999999999993</v>
      </c>
      <c r="J433" t="s">
        <v>18</v>
      </c>
      <c r="K433">
        <v>10</v>
      </c>
      <c r="L433">
        <v>25</v>
      </c>
      <c r="M433" t="s">
        <v>19</v>
      </c>
      <c r="N433">
        <f t="shared" si="12"/>
        <v>9.9499999999999993</v>
      </c>
      <c r="O433" t="b">
        <f t="shared" si="13"/>
        <v>1</v>
      </c>
    </row>
    <row r="434" spans="1:15">
      <c r="A434" t="s">
        <v>606</v>
      </c>
      <c r="B434" s="2">
        <v>46091</v>
      </c>
      <c r="C434" t="s">
        <v>320</v>
      </c>
      <c r="D434" t="s">
        <v>15</v>
      </c>
      <c r="E434" t="s">
        <v>22</v>
      </c>
      <c r="F434" t="s">
        <v>23</v>
      </c>
      <c r="G434">
        <v>1</v>
      </c>
      <c r="H434" s="3">
        <v>3.1</v>
      </c>
      <c r="I434" s="3">
        <v>3.1</v>
      </c>
      <c r="J434" t="s">
        <v>53</v>
      </c>
      <c r="K434">
        <v>24</v>
      </c>
      <c r="L434">
        <v>4</v>
      </c>
      <c r="M434" t="s">
        <v>19</v>
      </c>
      <c r="N434">
        <f t="shared" si="12"/>
        <v>3.1</v>
      </c>
      <c r="O434" t="b">
        <f t="shared" si="13"/>
        <v>1</v>
      </c>
    </row>
    <row r="435" spans="1:15">
      <c r="A435" t="s">
        <v>607</v>
      </c>
      <c r="B435" s="2">
        <v>46134</v>
      </c>
      <c r="C435" t="s">
        <v>320</v>
      </c>
      <c r="D435" t="s">
        <v>15</v>
      </c>
      <c r="E435" t="s">
        <v>126</v>
      </c>
      <c r="F435" t="s">
        <v>31</v>
      </c>
      <c r="G435">
        <v>2</v>
      </c>
      <c r="H435" s="3">
        <v>7.95</v>
      </c>
      <c r="I435" s="3">
        <v>15.9</v>
      </c>
      <c r="J435" t="s">
        <v>53</v>
      </c>
      <c r="K435">
        <v>5</v>
      </c>
      <c r="L435">
        <v>14</v>
      </c>
      <c r="M435" t="s">
        <v>19</v>
      </c>
      <c r="N435">
        <f t="shared" si="12"/>
        <v>15.9</v>
      </c>
      <c r="O435" t="b">
        <f t="shared" si="13"/>
        <v>1</v>
      </c>
    </row>
    <row r="436" spans="1:15">
      <c r="A436" t="s">
        <v>608</v>
      </c>
      <c r="B436" s="2">
        <v>46114</v>
      </c>
      <c r="C436" t="s">
        <v>230</v>
      </c>
      <c r="D436" t="s">
        <v>35</v>
      </c>
      <c r="E436" t="s">
        <v>93</v>
      </c>
      <c r="F436" t="s">
        <v>31</v>
      </c>
      <c r="G436">
        <v>2</v>
      </c>
      <c r="H436" s="3">
        <v>6.25</v>
      </c>
      <c r="I436" s="3">
        <v>-12.5</v>
      </c>
      <c r="J436" t="s">
        <v>53</v>
      </c>
      <c r="K436">
        <v>19</v>
      </c>
      <c r="L436">
        <v>15</v>
      </c>
      <c r="M436" t="s">
        <v>62</v>
      </c>
      <c r="N436">
        <f t="shared" si="12"/>
        <v>12.5</v>
      </c>
      <c r="O436" t="b">
        <f t="shared" si="13"/>
        <v>1</v>
      </c>
    </row>
    <row r="437" spans="1:15">
      <c r="A437" t="s">
        <v>609</v>
      </c>
      <c r="B437" s="2">
        <v>46236</v>
      </c>
      <c r="C437" t="s">
        <v>189</v>
      </c>
      <c r="D437" t="s">
        <v>35</v>
      </c>
      <c r="E437" t="s">
        <v>78</v>
      </c>
      <c r="F437" t="s">
        <v>47</v>
      </c>
      <c r="G437">
        <v>2</v>
      </c>
      <c r="H437" s="3">
        <v>7.25</v>
      </c>
      <c r="I437" s="3">
        <v>14.5</v>
      </c>
      <c r="J437" t="s">
        <v>27</v>
      </c>
      <c r="K437">
        <v>4</v>
      </c>
      <c r="L437">
        <v>25</v>
      </c>
      <c r="M437" t="s">
        <v>19</v>
      </c>
      <c r="N437">
        <f t="shared" si="12"/>
        <v>14.5</v>
      </c>
      <c r="O437" t="b">
        <f t="shared" si="13"/>
        <v>1</v>
      </c>
    </row>
    <row r="438" spans="1:15">
      <c r="A438" t="s">
        <v>610</v>
      </c>
      <c r="B438" s="2">
        <v>46097</v>
      </c>
      <c r="C438" t="s">
        <v>483</v>
      </c>
      <c r="D438" t="s">
        <v>15</v>
      </c>
      <c r="E438" t="s">
        <v>41</v>
      </c>
      <c r="F438" t="s">
        <v>31</v>
      </c>
      <c r="G438">
        <v>2</v>
      </c>
      <c r="H438" s="3">
        <v>5.5</v>
      </c>
      <c r="I438" s="3">
        <v>11</v>
      </c>
      <c r="J438" t="s">
        <v>32</v>
      </c>
      <c r="K438">
        <v>5</v>
      </c>
      <c r="L438">
        <v>25</v>
      </c>
      <c r="M438" t="s">
        <v>19</v>
      </c>
      <c r="N438">
        <f t="shared" si="12"/>
        <v>11</v>
      </c>
      <c r="O438" t="b">
        <f t="shared" si="13"/>
        <v>1</v>
      </c>
    </row>
    <row r="439" spans="1:15">
      <c r="A439" t="s">
        <v>611</v>
      </c>
      <c r="B439" s="2">
        <v>46174</v>
      </c>
      <c r="C439" t="s">
        <v>58</v>
      </c>
      <c r="D439" t="s">
        <v>15</v>
      </c>
      <c r="E439" t="s">
        <v>30</v>
      </c>
      <c r="F439" t="s">
        <v>31</v>
      </c>
      <c r="G439">
        <v>2</v>
      </c>
      <c r="H439" s="3">
        <v>8.5</v>
      </c>
      <c r="I439" s="3">
        <v>17</v>
      </c>
      <c r="J439" t="s">
        <v>53</v>
      </c>
      <c r="K439">
        <v>20</v>
      </c>
      <c r="L439">
        <v>15</v>
      </c>
      <c r="M439" t="s">
        <v>19</v>
      </c>
      <c r="N439">
        <f t="shared" si="12"/>
        <v>17</v>
      </c>
      <c r="O439" t="b">
        <f t="shared" si="13"/>
        <v>1</v>
      </c>
    </row>
    <row r="440" spans="1:15">
      <c r="A440" t="s">
        <v>612</v>
      </c>
      <c r="B440" s="2">
        <v>46137</v>
      </c>
      <c r="C440" t="s">
        <v>145</v>
      </c>
      <c r="D440" t="s">
        <v>35</v>
      </c>
      <c r="E440" t="s">
        <v>16</v>
      </c>
      <c r="F440" t="s">
        <v>17</v>
      </c>
      <c r="G440">
        <v>1</v>
      </c>
      <c r="H440" s="3">
        <v>9.9499999999999993</v>
      </c>
      <c r="I440" s="3">
        <v>9.9499999999999993</v>
      </c>
      <c r="J440" t="s">
        <v>18</v>
      </c>
      <c r="K440">
        <v>30</v>
      </c>
      <c r="L440">
        <v>17</v>
      </c>
      <c r="M440" t="s">
        <v>19</v>
      </c>
      <c r="N440">
        <f t="shared" si="12"/>
        <v>9.9499999999999993</v>
      </c>
      <c r="O440" t="b">
        <f t="shared" si="13"/>
        <v>1</v>
      </c>
    </row>
    <row r="441" spans="1:15">
      <c r="A441" t="s">
        <v>613</v>
      </c>
      <c r="B441" s="2">
        <v>46236</v>
      </c>
      <c r="C441" t="s">
        <v>271</v>
      </c>
      <c r="D441" t="s">
        <v>35</v>
      </c>
      <c r="E441" t="s">
        <v>36</v>
      </c>
      <c r="F441" t="s">
        <v>23</v>
      </c>
      <c r="G441">
        <v>1</v>
      </c>
      <c r="H441" s="3">
        <v>2.8</v>
      </c>
      <c r="I441" s="3">
        <v>0</v>
      </c>
      <c r="J441" t="s">
        <v>27</v>
      </c>
      <c r="K441">
        <v>9</v>
      </c>
      <c r="L441">
        <v>21</v>
      </c>
      <c r="M441" t="s">
        <v>152</v>
      </c>
      <c r="N441">
        <f t="shared" si="12"/>
        <v>2.8</v>
      </c>
      <c r="O441" t="b">
        <f t="shared" si="13"/>
        <v>1</v>
      </c>
    </row>
    <row r="442" spans="1:15">
      <c r="A442" t="s">
        <v>614</v>
      </c>
      <c r="B442" s="2">
        <v>46249</v>
      </c>
      <c r="C442" t="s">
        <v>615</v>
      </c>
      <c r="D442" t="s">
        <v>35</v>
      </c>
      <c r="E442" t="s">
        <v>30</v>
      </c>
      <c r="F442" t="s">
        <v>31</v>
      </c>
      <c r="G442">
        <v>2</v>
      </c>
      <c r="H442" s="3">
        <v>8.5</v>
      </c>
      <c r="I442" s="3">
        <v>17</v>
      </c>
      <c r="J442" t="s">
        <v>53</v>
      </c>
      <c r="K442">
        <v>24</v>
      </c>
      <c r="L442">
        <v>19</v>
      </c>
      <c r="M442" t="s">
        <v>19</v>
      </c>
      <c r="N442">
        <f t="shared" si="12"/>
        <v>17</v>
      </c>
      <c r="O442" t="b">
        <f t="shared" si="13"/>
        <v>1</v>
      </c>
    </row>
    <row r="443" spans="1:15">
      <c r="A443" t="s">
        <v>616</v>
      </c>
      <c r="B443" s="2">
        <v>46173</v>
      </c>
      <c r="C443" t="s">
        <v>279</v>
      </c>
      <c r="D443" t="s">
        <v>35</v>
      </c>
      <c r="E443" t="s">
        <v>106</v>
      </c>
      <c r="F443" t="s">
        <v>17</v>
      </c>
      <c r="G443">
        <v>3</v>
      </c>
      <c r="H443" s="3">
        <v>15.95</v>
      </c>
      <c r="I443" s="3">
        <v>0</v>
      </c>
      <c r="J443" t="s">
        <v>27</v>
      </c>
      <c r="K443">
        <v>17</v>
      </c>
      <c r="L443">
        <v>16</v>
      </c>
      <c r="M443" t="s">
        <v>152</v>
      </c>
      <c r="N443">
        <f t="shared" si="12"/>
        <v>47.849999999999994</v>
      </c>
      <c r="O443" t="b">
        <f t="shared" si="13"/>
        <v>1</v>
      </c>
    </row>
    <row r="444" spans="1:15">
      <c r="A444" t="s">
        <v>617</v>
      </c>
      <c r="B444" s="2">
        <v>46043</v>
      </c>
      <c r="C444" t="s">
        <v>189</v>
      </c>
      <c r="D444" t="s">
        <v>35</v>
      </c>
      <c r="E444" t="s">
        <v>50</v>
      </c>
      <c r="F444" t="s">
        <v>17</v>
      </c>
      <c r="G444">
        <v>1</v>
      </c>
      <c r="H444" s="3">
        <v>14.5</v>
      </c>
      <c r="I444" s="3">
        <v>14.5</v>
      </c>
      <c r="J444" t="s">
        <v>27</v>
      </c>
      <c r="K444">
        <v>30</v>
      </c>
      <c r="L444">
        <v>26</v>
      </c>
      <c r="M444" t="s">
        <v>19</v>
      </c>
      <c r="N444">
        <f t="shared" si="12"/>
        <v>14.5</v>
      </c>
      <c r="O444" t="b">
        <f t="shared" si="13"/>
        <v>1</v>
      </c>
    </row>
    <row r="445" spans="1:15">
      <c r="A445" t="s">
        <v>618</v>
      </c>
      <c r="B445" s="2">
        <v>46101</v>
      </c>
      <c r="C445" t="s">
        <v>191</v>
      </c>
      <c r="D445" t="s">
        <v>35</v>
      </c>
      <c r="E445" t="s">
        <v>56</v>
      </c>
      <c r="F445" t="s">
        <v>23</v>
      </c>
      <c r="G445">
        <v>2</v>
      </c>
      <c r="H445" s="3">
        <v>3.75</v>
      </c>
      <c r="I445" s="3">
        <v>7.5</v>
      </c>
      <c r="J445" t="s">
        <v>32</v>
      </c>
      <c r="K445">
        <v>16</v>
      </c>
      <c r="L445">
        <v>13</v>
      </c>
      <c r="M445" t="s">
        <v>19</v>
      </c>
      <c r="N445">
        <f t="shared" si="12"/>
        <v>7.5</v>
      </c>
      <c r="O445" t="b">
        <f t="shared" si="13"/>
        <v>1</v>
      </c>
    </row>
    <row r="446" spans="1:15">
      <c r="A446" t="s">
        <v>619</v>
      </c>
      <c r="B446" s="2">
        <v>46206</v>
      </c>
      <c r="C446" t="s">
        <v>312</v>
      </c>
      <c r="D446" t="s">
        <v>15</v>
      </c>
      <c r="E446" t="s">
        <v>16</v>
      </c>
      <c r="F446" t="s">
        <v>17</v>
      </c>
      <c r="G446">
        <v>3</v>
      </c>
      <c r="H446" s="3">
        <v>9.9499999999999993</v>
      </c>
      <c r="I446" s="3">
        <v>29.85</v>
      </c>
      <c r="J446" t="s">
        <v>18</v>
      </c>
      <c r="K446">
        <v>14</v>
      </c>
      <c r="L446">
        <v>22</v>
      </c>
      <c r="M446" t="s">
        <v>19</v>
      </c>
      <c r="N446">
        <f t="shared" si="12"/>
        <v>29.849999999999998</v>
      </c>
      <c r="O446" t="b">
        <f t="shared" si="13"/>
        <v>1</v>
      </c>
    </row>
    <row r="447" spans="1:15">
      <c r="A447" t="s">
        <v>620</v>
      </c>
      <c r="B447" s="2">
        <v>46229</v>
      </c>
      <c r="C447" t="s">
        <v>21</v>
      </c>
      <c r="D447" t="s">
        <v>15</v>
      </c>
      <c r="E447" t="s">
        <v>93</v>
      </c>
      <c r="F447" t="s">
        <v>31</v>
      </c>
      <c r="G447">
        <v>1</v>
      </c>
      <c r="H447" s="3">
        <v>6.25</v>
      </c>
      <c r="I447" s="3">
        <v>6.25</v>
      </c>
      <c r="J447" t="s">
        <v>53</v>
      </c>
      <c r="K447">
        <v>7</v>
      </c>
      <c r="L447">
        <v>18</v>
      </c>
      <c r="M447" t="s">
        <v>19</v>
      </c>
      <c r="N447">
        <f t="shared" si="12"/>
        <v>6.25</v>
      </c>
      <c r="O447" t="b">
        <f t="shared" si="13"/>
        <v>1</v>
      </c>
    </row>
    <row r="448" spans="1:15">
      <c r="A448" t="s">
        <v>621</v>
      </c>
      <c r="B448" s="2">
        <v>46294</v>
      </c>
      <c r="C448" t="s">
        <v>130</v>
      </c>
      <c r="D448" t="s">
        <v>35</v>
      </c>
      <c r="E448" t="s">
        <v>26</v>
      </c>
      <c r="F448" t="s">
        <v>17</v>
      </c>
      <c r="G448">
        <v>1</v>
      </c>
      <c r="H448" s="3">
        <v>11.5</v>
      </c>
      <c r="I448" s="3">
        <v>11.5</v>
      </c>
      <c r="J448" t="s">
        <v>53</v>
      </c>
      <c r="K448">
        <v>20</v>
      </c>
      <c r="L448">
        <v>7</v>
      </c>
      <c r="M448" t="s">
        <v>19</v>
      </c>
      <c r="N448">
        <f t="shared" si="12"/>
        <v>11.5</v>
      </c>
      <c r="O448" t="b">
        <f t="shared" si="13"/>
        <v>1</v>
      </c>
    </row>
    <row r="449" spans="1:15">
      <c r="A449" t="s">
        <v>622</v>
      </c>
      <c r="B449" s="2">
        <v>46147</v>
      </c>
      <c r="C449" t="s">
        <v>271</v>
      </c>
      <c r="D449" t="s">
        <v>35</v>
      </c>
      <c r="E449" t="s">
        <v>46</v>
      </c>
      <c r="F449" t="s">
        <v>47</v>
      </c>
      <c r="G449">
        <v>3</v>
      </c>
      <c r="H449" s="3">
        <v>6.95</v>
      </c>
      <c r="I449" s="3">
        <v>20.85</v>
      </c>
      <c r="J449" t="s">
        <v>27</v>
      </c>
      <c r="K449">
        <v>13</v>
      </c>
      <c r="L449">
        <v>24</v>
      </c>
      <c r="M449" t="s">
        <v>19</v>
      </c>
      <c r="N449">
        <f t="shared" si="12"/>
        <v>20.85</v>
      </c>
      <c r="O449" t="b">
        <f t="shared" si="13"/>
        <v>1</v>
      </c>
    </row>
    <row r="450" spans="1:15">
      <c r="A450" t="s">
        <v>623</v>
      </c>
      <c r="B450" s="2">
        <v>46167</v>
      </c>
      <c r="C450" t="s">
        <v>225</v>
      </c>
      <c r="D450" t="s">
        <v>15</v>
      </c>
      <c r="E450" t="s">
        <v>22</v>
      </c>
      <c r="F450" t="s">
        <v>23</v>
      </c>
      <c r="G450">
        <v>2</v>
      </c>
      <c r="H450" s="3">
        <v>3.1</v>
      </c>
      <c r="I450" s="3">
        <v>6.2</v>
      </c>
      <c r="J450" t="s">
        <v>27</v>
      </c>
      <c r="K450">
        <v>21</v>
      </c>
      <c r="L450">
        <v>3</v>
      </c>
      <c r="M450" t="s">
        <v>19</v>
      </c>
      <c r="N450">
        <f t="shared" ref="N450:N513" si="14">G450*H450</f>
        <v>6.2</v>
      </c>
      <c r="O450" t="b">
        <f t="shared" ref="O450:O513" si="15">OR(AND(M450="Completed",I450=N450),AND(M450="Refunded",ABS(I450)=N450),AND(M450="Cancelled",I450=0))</f>
        <v>1</v>
      </c>
    </row>
    <row r="451" spans="1:15">
      <c r="A451" t="s">
        <v>624</v>
      </c>
      <c r="B451" s="2">
        <v>46286</v>
      </c>
      <c r="C451" t="s">
        <v>625</v>
      </c>
      <c r="D451" t="s">
        <v>15</v>
      </c>
      <c r="E451" t="s">
        <v>36</v>
      </c>
      <c r="F451" t="s">
        <v>23</v>
      </c>
      <c r="G451">
        <v>1</v>
      </c>
      <c r="H451" s="3">
        <v>2.8</v>
      </c>
      <c r="I451" s="3">
        <v>2.8</v>
      </c>
      <c r="J451" t="s">
        <v>27</v>
      </c>
      <c r="K451">
        <v>3</v>
      </c>
      <c r="L451">
        <v>9</v>
      </c>
      <c r="M451" t="s">
        <v>19</v>
      </c>
      <c r="N451">
        <f t="shared" si="14"/>
        <v>2.8</v>
      </c>
      <c r="O451" t="b">
        <f t="shared" si="15"/>
        <v>1</v>
      </c>
    </row>
    <row r="452" spans="1:15">
      <c r="A452" t="s">
        <v>626</v>
      </c>
      <c r="B452" s="2">
        <v>46132</v>
      </c>
      <c r="C452" t="s">
        <v>34</v>
      </c>
      <c r="D452" t="s">
        <v>35</v>
      </c>
      <c r="E452" t="s">
        <v>70</v>
      </c>
      <c r="F452" t="s">
        <v>17</v>
      </c>
      <c r="G452">
        <v>1</v>
      </c>
      <c r="H452" s="3">
        <v>12.5</v>
      </c>
      <c r="I452" s="3">
        <v>12.5</v>
      </c>
      <c r="J452" t="s">
        <v>18</v>
      </c>
      <c r="K452">
        <v>14</v>
      </c>
      <c r="L452">
        <v>27</v>
      </c>
      <c r="M452" t="s">
        <v>19</v>
      </c>
      <c r="N452">
        <f t="shared" si="14"/>
        <v>12.5</v>
      </c>
      <c r="O452" t="b">
        <f t="shared" si="15"/>
        <v>1</v>
      </c>
    </row>
    <row r="453" spans="1:15">
      <c r="A453" t="s">
        <v>627</v>
      </c>
      <c r="B453" s="2">
        <v>46059</v>
      </c>
      <c r="C453" t="s">
        <v>286</v>
      </c>
      <c r="D453" t="s">
        <v>35</v>
      </c>
      <c r="E453" t="s">
        <v>96</v>
      </c>
      <c r="F453" t="s">
        <v>47</v>
      </c>
      <c r="G453">
        <v>2</v>
      </c>
      <c r="H453" s="3">
        <v>5.75</v>
      </c>
      <c r="I453" s="3">
        <v>11.5</v>
      </c>
      <c r="J453" t="s">
        <v>27</v>
      </c>
      <c r="K453">
        <v>3</v>
      </c>
      <c r="L453">
        <v>13</v>
      </c>
      <c r="M453" t="s">
        <v>19</v>
      </c>
      <c r="N453">
        <f t="shared" si="14"/>
        <v>11.5</v>
      </c>
      <c r="O453" t="b">
        <f t="shared" si="15"/>
        <v>1</v>
      </c>
    </row>
    <row r="454" spans="1:15">
      <c r="A454" t="s">
        <v>628</v>
      </c>
      <c r="B454" s="2">
        <v>46114</v>
      </c>
      <c r="C454" t="s">
        <v>82</v>
      </c>
      <c r="D454" t="s">
        <v>35</v>
      </c>
      <c r="E454" t="s">
        <v>121</v>
      </c>
      <c r="F454" t="s">
        <v>23</v>
      </c>
      <c r="G454">
        <v>2</v>
      </c>
      <c r="H454" s="3">
        <v>6.5</v>
      </c>
      <c r="I454" s="3">
        <v>13</v>
      </c>
      <c r="J454" t="s">
        <v>18</v>
      </c>
      <c r="K454">
        <v>13</v>
      </c>
      <c r="L454">
        <v>7</v>
      </c>
      <c r="M454" t="s">
        <v>19</v>
      </c>
      <c r="N454">
        <f t="shared" si="14"/>
        <v>13</v>
      </c>
      <c r="O454" t="b">
        <f t="shared" si="15"/>
        <v>1</v>
      </c>
    </row>
    <row r="455" spans="1:15">
      <c r="A455" t="s">
        <v>629</v>
      </c>
      <c r="B455" s="2">
        <v>46031</v>
      </c>
      <c r="C455" t="s">
        <v>400</v>
      </c>
      <c r="D455" t="s">
        <v>35</v>
      </c>
      <c r="E455" t="s">
        <v>26</v>
      </c>
      <c r="F455" t="s">
        <v>17</v>
      </c>
      <c r="G455">
        <v>2</v>
      </c>
      <c r="H455" s="3">
        <v>11.5</v>
      </c>
      <c r="I455" s="3">
        <v>23</v>
      </c>
      <c r="J455" t="s">
        <v>32</v>
      </c>
      <c r="K455">
        <v>3</v>
      </c>
      <c r="L455">
        <v>23</v>
      </c>
      <c r="M455" t="s">
        <v>19</v>
      </c>
      <c r="N455">
        <f t="shared" si="14"/>
        <v>23</v>
      </c>
      <c r="O455" t="b">
        <f t="shared" si="15"/>
        <v>1</v>
      </c>
    </row>
    <row r="456" spans="1:15">
      <c r="A456" t="s">
        <v>630</v>
      </c>
      <c r="B456" s="2">
        <v>46046</v>
      </c>
      <c r="C456" t="s">
        <v>493</v>
      </c>
      <c r="D456" t="s">
        <v>35</v>
      </c>
      <c r="E456" t="s">
        <v>22</v>
      </c>
      <c r="F456" t="s">
        <v>23</v>
      </c>
      <c r="G456">
        <v>1</v>
      </c>
      <c r="H456" s="3">
        <v>3.1</v>
      </c>
      <c r="I456" s="3">
        <v>3.1</v>
      </c>
      <c r="J456" t="s">
        <v>53</v>
      </c>
      <c r="K456">
        <v>25</v>
      </c>
      <c r="L456">
        <v>12</v>
      </c>
      <c r="M456" t="s">
        <v>19</v>
      </c>
      <c r="N456">
        <f t="shared" si="14"/>
        <v>3.1</v>
      </c>
      <c r="O456" t="b">
        <f t="shared" si="15"/>
        <v>1</v>
      </c>
    </row>
    <row r="457" spans="1:15">
      <c r="A457" t="s">
        <v>631</v>
      </c>
      <c r="B457" s="2">
        <v>46218</v>
      </c>
      <c r="C457" t="s">
        <v>366</v>
      </c>
      <c r="D457" t="s">
        <v>35</v>
      </c>
      <c r="E457" t="s">
        <v>103</v>
      </c>
      <c r="F457" t="s">
        <v>23</v>
      </c>
      <c r="G457">
        <v>1</v>
      </c>
      <c r="H457" s="3">
        <v>3.25</v>
      </c>
      <c r="I457" s="3">
        <v>3.25</v>
      </c>
      <c r="J457" t="s">
        <v>18</v>
      </c>
      <c r="K457">
        <v>5</v>
      </c>
      <c r="L457">
        <v>15</v>
      </c>
      <c r="M457" t="s">
        <v>19</v>
      </c>
      <c r="N457">
        <f t="shared" si="14"/>
        <v>3.25</v>
      </c>
      <c r="O457" t="b">
        <f t="shared" si="15"/>
        <v>1</v>
      </c>
    </row>
    <row r="458" spans="1:15">
      <c r="A458" t="s">
        <v>632</v>
      </c>
      <c r="B458" s="2">
        <v>46174</v>
      </c>
      <c r="C458" t="s">
        <v>158</v>
      </c>
      <c r="D458" t="s">
        <v>35</v>
      </c>
      <c r="E458" t="s">
        <v>30</v>
      </c>
      <c r="F458" t="s">
        <v>31</v>
      </c>
      <c r="G458">
        <v>3</v>
      </c>
      <c r="H458" s="3">
        <v>8.5</v>
      </c>
      <c r="I458" s="3">
        <v>25.5</v>
      </c>
      <c r="J458" t="s">
        <v>27</v>
      </c>
      <c r="K458">
        <v>4</v>
      </c>
      <c r="L458">
        <v>12</v>
      </c>
      <c r="M458" t="s">
        <v>19</v>
      </c>
      <c r="N458">
        <f t="shared" si="14"/>
        <v>25.5</v>
      </c>
      <c r="O458" t="b">
        <f t="shared" si="15"/>
        <v>1</v>
      </c>
    </row>
    <row r="459" spans="1:15">
      <c r="A459" t="s">
        <v>633</v>
      </c>
      <c r="B459" s="2">
        <v>46224</v>
      </c>
      <c r="C459" t="s">
        <v>431</v>
      </c>
      <c r="D459" t="s">
        <v>35</v>
      </c>
      <c r="E459" t="s">
        <v>70</v>
      </c>
      <c r="F459" t="s">
        <v>17</v>
      </c>
      <c r="G459">
        <v>2</v>
      </c>
      <c r="H459" s="3">
        <v>12.5</v>
      </c>
      <c r="I459" s="3">
        <v>25</v>
      </c>
      <c r="J459" t="s">
        <v>27</v>
      </c>
      <c r="K459">
        <v>12</v>
      </c>
      <c r="L459">
        <v>17</v>
      </c>
      <c r="M459" t="s">
        <v>19</v>
      </c>
      <c r="N459">
        <f t="shared" si="14"/>
        <v>25</v>
      </c>
      <c r="O459" t="b">
        <f t="shared" si="15"/>
        <v>1</v>
      </c>
    </row>
    <row r="460" spans="1:15">
      <c r="A460" t="s">
        <v>634</v>
      </c>
      <c r="B460" s="2">
        <v>46285</v>
      </c>
      <c r="C460" t="s">
        <v>21</v>
      </c>
      <c r="D460" t="s">
        <v>15</v>
      </c>
      <c r="E460" t="s">
        <v>56</v>
      </c>
      <c r="F460" t="s">
        <v>23</v>
      </c>
      <c r="G460">
        <v>2</v>
      </c>
      <c r="H460" s="3">
        <v>3.75</v>
      </c>
      <c r="I460" s="3">
        <v>7.5</v>
      </c>
      <c r="J460" t="s">
        <v>53</v>
      </c>
      <c r="K460">
        <v>19</v>
      </c>
      <c r="L460">
        <v>15</v>
      </c>
      <c r="M460" t="s">
        <v>19</v>
      </c>
      <c r="N460">
        <f t="shared" si="14"/>
        <v>7.5</v>
      </c>
      <c r="O460" t="b">
        <f t="shared" si="15"/>
        <v>1</v>
      </c>
    </row>
    <row r="461" spans="1:15">
      <c r="A461" t="s">
        <v>635</v>
      </c>
      <c r="B461" s="2">
        <v>46259</v>
      </c>
      <c r="C461" t="s">
        <v>431</v>
      </c>
      <c r="D461" t="s">
        <v>35</v>
      </c>
      <c r="E461" t="s">
        <v>39</v>
      </c>
      <c r="F461" t="s">
        <v>17</v>
      </c>
      <c r="G461">
        <v>1</v>
      </c>
      <c r="H461" s="3">
        <v>12.95</v>
      </c>
      <c r="I461" s="3">
        <v>12.95</v>
      </c>
      <c r="J461" t="s">
        <v>18</v>
      </c>
      <c r="K461">
        <v>24</v>
      </c>
      <c r="L461">
        <v>25</v>
      </c>
      <c r="M461" t="s">
        <v>19</v>
      </c>
      <c r="N461">
        <f t="shared" si="14"/>
        <v>12.95</v>
      </c>
      <c r="O461" t="b">
        <f t="shared" si="15"/>
        <v>1</v>
      </c>
    </row>
    <row r="462" spans="1:15">
      <c r="A462" t="s">
        <v>636</v>
      </c>
      <c r="B462" s="2">
        <v>46192</v>
      </c>
      <c r="C462" t="s">
        <v>160</v>
      </c>
      <c r="D462" t="s">
        <v>15</v>
      </c>
      <c r="E462" t="s">
        <v>126</v>
      </c>
      <c r="F462" t="s">
        <v>31</v>
      </c>
      <c r="G462">
        <v>2</v>
      </c>
      <c r="H462" s="3">
        <v>7.95</v>
      </c>
      <c r="I462" s="3">
        <v>15.9</v>
      </c>
      <c r="J462" t="s">
        <v>18</v>
      </c>
      <c r="K462">
        <v>20</v>
      </c>
      <c r="L462">
        <v>13</v>
      </c>
      <c r="M462" t="s">
        <v>19</v>
      </c>
      <c r="N462">
        <f t="shared" si="14"/>
        <v>15.9</v>
      </c>
      <c r="O462" t="b">
        <f t="shared" si="15"/>
        <v>1</v>
      </c>
    </row>
    <row r="463" spans="1:15">
      <c r="A463" t="s">
        <v>637</v>
      </c>
      <c r="B463" s="2">
        <v>46101</v>
      </c>
      <c r="C463" t="s">
        <v>118</v>
      </c>
      <c r="D463" t="s">
        <v>35</v>
      </c>
      <c r="E463" t="s">
        <v>78</v>
      </c>
      <c r="F463" t="s">
        <v>47</v>
      </c>
      <c r="G463">
        <v>1</v>
      </c>
      <c r="H463" s="3">
        <v>7.25</v>
      </c>
      <c r="I463" s="3">
        <v>7.25</v>
      </c>
      <c r="J463" t="s">
        <v>32</v>
      </c>
      <c r="K463">
        <v>8</v>
      </c>
      <c r="L463">
        <v>25</v>
      </c>
      <c r="M463" t="s">
        <v>19</v>
      </c>
      <c r="N463">
        <f t="shared" si="14"/>
        <v>7.25</v>
      </c>
      <c r="O463" t="b">
        <f t="shared" si="15"/>
        <v>1</v>
      </c>
    </row>
    <row r="464" spans="1:15">
      <c r="A464" t="s">
        <v>638</v>
      </c>
      <c r="B464" s="2">
        <v>46246</v>
      </c>
      <c r="C464" t="s">
        <v>258</v>
      </c>
      <c r="D464" t="s">
        <v>15</v>
      </c>
      <c r="E464" t="s">
        <v>93</v>
      </c>
      <c r="F464" t="s">
        <v>31</v>
      </c>
      <c r="G464">
        <v>2</v>
      </c>
      <c r="H464" s="3">
        <v>6.25</v>
      </c>
      <c r="I464" s="3">
        <v>12.5</v>
      </c>
      <c r="J464" t="s">
        <v>18</v>
      </c>
      <c r="K464">
        <v>16</v>
      </c>
      <c r="L464">
        <v>6</v>
      </c>
      <c r="M464" t="s">
        <v>19</v>
      </c>
      <c r="N464">
        <f t="shared" si="14"/>
        <v>12.5</v>
      </c>
      <c r="O464" t="b">
        <f t="shared" si="15"/>
        <v>1</v>
      </c>
    </row>
    <row r="465" spans="1:15">
      <c r="A465" t="s">
        <v>639</v>
      </c>
      <c r="B465" s="2">
        <v>46112</v>
      </c>
      <c r="C465" t="s">
        <v>431</v>
      </c>
      <c r="D465" t="s">
        <v>35</v>
      </c>
      <c r="E465" t="s">
        <v>50</v>
      </c>
      <c r="F465" t="s">
        <v>17</v>
      </c>
      <c r="G465">
        <v>3</v>
      </c>
      <c r="H465" s="3">
        <v>14.5</v>
      </c>
      <c r="I465" s="3">
        <v>43.5</v>
      </c>
      <c r="J465" t="s">
        <v>18</v>
      </c>
      <c r="K465">
        <v>9</v>
      </c>
      <c r="L465">
        <v>23</v>
      </c>
      <c r="M465" t="s">
        <v>19</v>
      </c>
      <c r="N465">
        <f t="shared" si="14"/>
        <v>43.5</v>
      </c>
      <c r="O465" t="b">
        <f t="shared" si="15"/>
        <v>1</v>
      </c>
    </row>
    <row r="466" spans="1:15">
      <c r="A466" t="s">
        <v>640</v>
      </c>
      <c r="B466" s="2">
        <v>46062</v>
      </c>
      <c r="C466" t="s">
        <v>400</v>
      </c>
      <c r="D466" t="s">
        <v>35</v>
      </c>
      <c r="E466" t="s">
        <v>26</v>
      </c>
      <c r="F466" t="s">
        <v>17</v>
      </c>
      <c r="G466">
        <v>2</v>
      </c>
      <c r="H466" s="3">
        <v>11.5</v>
      </c>
      <c r="I466" s="3">
        <v>23</v>
      </c>
      <c r="J466" t="s">
        <v>27</v>
      </c>
      <c r="K466">
        <v>30</v>
      </c>
      <c r="L466">
        <v>13</v>
      </c>
      <c r="M466" t="s">
        <v>19</v>
      </c>
      <c r="N466">
        <f t="shared" si="14"/>
        <v>23</v>
      </c>
      <c r="O466" t="b">
        <f t="shared" si="15"/>
        <v>1</v>
      </c>
    </row>
    <row r="467" spans="1:15">
      <c r="A467" t="s">
        <v>641</v>
      </c>
      <c r="B467" s="2">
        <v>46156</v>
      </c>
      <c r="C467" t="s">
        <v>139</v>
      </c>
      <c r="D467" t="s">
        <v>35</v>
      </c>
      <c r="E467" t="s">
        <v>50</v>
      </c>
      <c r="F467" t="s">
        <v>17</v>
      </c>
      <c r="G467">
        <v>1</v>
      </c>
      <c r="H467" s="3">
        <v>14.5</v>
      </c>
      <c r="I467" s="3">
        <v>14.5</v>
      </c>
      <c r="J467" t="s">
        <v>32</v>
      </c>
      <c r="K467">
        <v>29</v>
      </c>
      <c r="L467">
        <v>24</v>
      </c>
      <c r="M467" t="s">
        <v>19</v>
      </c>
      <c r="N467">
        <f t="shared" si="14"/>
        <v>14.5</v>
      </c>
      <c r="O467" t="b">
        <f t="shared" si="15"/>
        <v>1</v>
      </c>
    </row>
    <row r="468" spans="1:15">
      <c r="A468" t="s">
        <v>642</v>
      </c>
      <c r="B468" s="2">
        <v>46171</v>
      </c>
      <c r="C468" t="s">
        <v>369</v>
      </c>
      <c r="D468" t="s">
        <v>15</v>
      </c>
      <c r="E468" t="s">
        <v>39</v>
      </c>
      <c r="F468" t="s">
        <v>17</v>
      </c>
      <c r="G468">
        <v>1</v>
      </c>
      <c r="H468" s="3">
        <v>12.95</v>
      </c>
      <c r="I468" s="3">
        <v>12.95</v>
      </c>
      <c r="J468" t="s">
        <v>53</v>
      </c>
      <c r="K468">
        <v>26</v>
      </c>
      <c r="L468">
        <v>20</v>
      </c>
      <c r="M468" t="s">
        <v>19</v>
      </c>
      <c r="N468">
        <f t="shared" si="14"/>
        <v>12.95</v>
      </c>
      <c r="O468" t="b">
        <f t="shared" si="15"/>
        <v>1</v>
      </c>
    </row>
    <row r="469" spans="1:15">
      <c r="A469" t="s">
        <v>643</v>
      </c>
      <c r="B469" s="2">
        <v>46107</v>
      </c>
      <c r="C469" t="s">
        <v>167</v>
      </c>
      <c r="D469" t="s">
        <v>35</v>
      </c>
      <c r="E469" t="s">
        <v>106</v>
      </c>
      <c r="F469" t="s">
        <v>17</v>
      </c>
      <c r="G469">
        <v>1</v>
      </c>
      <c r="H469" s="3">
        <v>15.95</v>
      </c>
      <c r="I469" s="3">
        <v>15.95</v>
      </c>
      <c r="J469" t="s">
        <v>53</v>
      </c>
      <c r="K469">
        <v>22</v>
      </c>
      <c r="L469">
        <v>20</v>
      </c>
      <c r="M469" t="s">
        <v>19</v>
      </c>
      <c r="N469">
        <f t="shared" si="14"/>
        <v>15.95</v>
      </c>
      <c r="O469" t="b">
        <f t="shared" si="15"/>
        <v>1</v>
      </c>
    </row>
    <row r="470" spans="1:15">
      <c r="A470" t="s">
        <v>644</v>
      </c>
      <c r="B470" s="2">
        <v>46097</v>
      </c>
      <c r="C470" t="s">
        <v>180</v>
      </c>
      <c r="D470" t="s">
        <v>35</v>
      </c>
      <c r="E470" t="s">
        <v>83</v>
      </c>
      <c r="F470" t="s">
        <v>17</v>
      </c>
      <c r="G470">
        <v>1</v>
      </c>
      <c r="H470" s="3">
        <v>13.5</v>
      </c>
      <c r="I470" s="3">
        <v>13.5</v>
      </c>
      <c r="J470" t="s">
        <v>27</v>
      </c>
      <c r="K470">
        <v>8</v>
      </c>
      <c r="L470">
        <v>20</v>
      </c>
      <c r="M470" t="s">
        <v>19</v>
      </c>
      <c r="N470">
        <f t="shared" si="14"/>
        <v>13.5</v>
      </c>
      <c r="O470" t="b">
        <f t="shared" si="15"/>
        <v>1</v>
      </c>
    </row>
    <row r="471" spans="1:15">
      <c r="A471" t="s">
        <v>645</v>
      </c>
      <c r="B471" s="2">
        <v>46128</v>
      </c>
      <c r="C471" t="s">
        <v>173</v>
      </c>
      <c r="D471" t="s">
        <v>35</v>
      </c>
      <c r="E471" t="s">
        <v>103</v>
      </c>
      <c r="F471" t="s">
        <v>23</v>
      </c>
      <c r="G471">
        <v>3</v>
      </c>
      <c r="H471" s="3">
        <v>3.25</v>
      </c>
      <c r="I471" s="3">
        <v>9.75</v>
      </c>
      <c r="J471" t="s">
        <v>53</v>
      </c>
      <c r="K471">
        <v>2</v>
      </c>
      <c r="L471">
        <v>17</v>
      </c>
      <c r="M471" t="s">
        <v>19</v>
      </c>
      <c r="N471">
        <f t="shared" si="14"/>
        <v>9.75</v>
      </c>
      <c r="O471" t="b">
        <f t="shared" si="15"/>
        <v>1</v>
      </c>
    </row>
    <row r="472" spans="1:15">
      <c r="A472" t="s">
        <v>646</v>
      </c>
      <c r="B472" s="2">
        <v>46188</v>
      </c>
      <c r="C472" t="s">
        <v>124</v>
      </c>
      <c r="D472" t="s">
        <v>15</v>
      </c>
      <c r="E472" t="s">
        <v>41</v>
      </c>
      <c r="F472" t="s">
        <v>31</v>
      </c>
      <c r="G472">
        <v>2</v>
      </c>
      <c r="H472" s="3">
        <v>5.5</v>
      </c>
      <c r="I472" s="3">
        <v>11</v>
      </c>
      <c r="J472" t="s">
        <v>18</v>
      </c>
      <c r="K472">
        <v>13</v>
      </c>
      <c r="L472">
        <v>9</v>
      </c>
      <c r="M472" t="s">
        <v>19</v>
      </c>
      <c r="N472">
        <f t="shared" si="14"/>
        <v>11</v>
      </c>
      <c r="O472" t="b">
        <f t="shared" si="15"/>
        <v>1</v>
      </c>
    </row>
    <row r="473" spans="1:15">
      <c r="A473" t="s">
        <v>647</v>
      </c>
      <c r="B473" s="2">
        <v>46210</v>
      </c>
      <c r="C473" t="s">
        <v>400</v>
      </c>
      <c r="D473" t="s">
        <v>35</v>
      </c>
      <c r="E473" t="s">
        <v>41</v>
      </c>
      <c r="F473" t="s">
        <v>31</v>
      </c>
      <c r="G473">
        <v>1</v>
      </c>
      <c r="H473" s="3">
        <v>5.5</v>
      </c>
      <c r="I473" s="3">
        <v>5.5</v>
      </c>
      <c r="J473" t="s">
        <v>18</v>
      </c>
      <c r="K473">
        <v>17</v>
      </c>
      <c r="L473">
        <v>16</v>
      </c>
      <c r="M473" t="s">
        <v>19</v>
      </c>
      <c r="N473">
        <f t="shared" si="14"/>
        <v>5.5</v>
      </c>
      <c r="O473" t="b">
        <f t="shared" si="15"/>
        <v>1</v>
      </c>
    </row>
    <row r="474" spans="1:15">
      <c r="A474" t="s">
        <v>648</v>
      </c>
      <c r="B474" s="2">
        <v>46199</v>
      </c>
      <c r="C474" t="s">
        <v>52</v>
      </c>
      <c r="D474" t="s">
        <v>35</v>
      </c>
      <c r="E474" t="s">
        <v>26</v>
      </c>
      <c r="F474" t="s">
        <v>17</v>
      </c>
      <c r="G474">
        <v>1</v>
      </c>
      <c r="H474" s="3">
        <v>11.5</v>
      </c>
      <c r="I474" s="3">
        <v>11.5</v>
      </c>
      <c r="J474" t="s">
        <v>18</v>
      </c>
      <c r="K474">
        <v>17</v>
      </c>
      <c r="L474">
        <v>15</v>
      </c>
      <c r="M474" t="s">
        <v>19</v>
      </c>
      <c r="N474">
        <f t="shared" si="14"/>
        <v>11.5</v>
      </c>
      <c r="O474" t="b">
        <f t="shared" si="15"/>
        <v>1</v>
      </c>
    </row>
    <row r="475" spans="1:15">
      <c r="A475" t="s">
        <v>649</v>
      </c>
      <c r="B475" s="2">
        <v>46131</v>
      </c>
      <c r="C475" t="s">
        <v>175</v>
      </c>
      <c r="D475" t="s">
        <v>15</v>
      </c>
      <c r="E475" t="s">
        <v>56</v>
      </c>
      <c r="F475" t="s">
        <v>23</v>
      </c>
      <c r="G475">
        <v>2</v>
      </c>
      <c r="H475" s="3">
        <v>3.75</v>
      </c>
      <c r="I475" s="3">
        <v>7.5</v>
      </c>
      <c r="J475" t="s">
        <v>27</v>
      </c>
      <c r="K475">
        <v>22</v>
      </c>
      <c r="L475">
        <v>10</v>
      </c>
      <c r="M475" t="s">
        <v>19</v>
      </c>
      <c r="N475">
        <f t="shared" si="14"/>
        <v>7.5</v>
      </c>
      <c r="O475" t="b">
        <f t="shared" si="15"/>
        <v>1</v>
      </c>
    </row>
    <row r="476" spans="1:15">
      <c r="A476" t="s">
        <v>650</v>
      </c>
      <c r="B476" s="2">
        <v>46192</v>
      </c>
      <c r="C476" t="s">
        <v>137</v>
      </c>
      <c r="D476" t="s">
        <v>35</v>
      </c>
      <c r="E476" t="s">
        <v>103</v>
      </c>
      <c r="F476" t="s">
        <v>23</v>
      </c>
      <c r="G476">
        <v>1</v>
      </c>
      <c r="H476" s="3">
        <v>3.25</v>
      </c>
      <c r="I476" s="3">
        <v>3.25</v>
      </c>
      <c r="J476" t="s">
        <v>27</v>
      </c>
      <c r="K476">
        <v>1</v>
      </c>
      <c r="L476">
        <v>19</v>
      </c>
      <c r="M476" t="s">
        <v>19</v>
      </c>
      <c r="N476">
        <f t="shared" si="14"/>
        <v>3.25</v>
      </c>
      <c r="O476" t="b">
        <f t="shared" si="15"/>
        <v>1</v>
      </c>
    </row>
    <row r="477" spans="1:15">
      <c r="A477" t="s">
        <v>651</v>
      </c>
      <c r="B477" s="2">
        <v>46088</v>
      </c>
      <c r="C477" t="s">
        <v>85</v>
      </c>
      <c r="D477" t="s">
        <v>35</v>
      </c>
      <c r="E477" t="s">
        <v>22</v>
      </c>
      <c r="F477" t="s">
        <v>23</v>
      </c>
      <c r="G477">
        <v>1</v>
      </c>
      <c r="H477" s="3">
        <v>3.1</v>
      </c>
      <c r="I477" s="3">
        <v>3.1</v>
      </c>
      <c r="J477" t="s">
        <v>27</v>
      </c>
      <c r="K477">
        <v>5</v>
      </c>
      <c r="L477">
        <v>22</v>
      </c>
      <c r="M477" t="s">
        <v>19</v>
      </c>
      <c r="N477">
        <f t="shared" si="14"/>
        <v>3.1</v>
      </c>
      <c r="O477" t="b">
        <f t="shared" si="15"/>
        <v>1</v>
      </c>
    </row>
    <row r="478" spans="1:15">
      <c r="A478" t="s">
        <v>652</v>
      </c>
      <c r="B478" s="2">
        <v>46155</v>
      </c>
      <c r="C478" t="s">
        <v>145</v>
      </c>
      <c r="D478" t="s">
        <v>35</v>
      </c>
      <c r="E478" t="s">
        <v>56</v>
      </c>
      <c r="F478" t="s">
        <v>23</v>
      </c>
      <c r="G478">
        <v>3</v>
      </c>
      <c r="H478" s="3">
        <v>3.75</v>
      </c>
      <c r="I478" s="3">
        <v>11.25</v>
      </c>
      <c r="J478" t="s">
        <v>32</v>
      </c>
      <c r="K478">
        <v>22</v>
      </c>
      <c r="L478">
        <v>22</v>
      </c>
      <c r="M478" t="s">
        <v>19</v>
      </c>
      <c r="N478">
        <f t="shared" si="14"/>
        <v>11.25</v>
      </c>
      <c r="O478" t="b">
        <f t="shared" si="15"/>
        <v>1</v>
      </c>
    </row>
    <row r="479" spans="1:15">
      <c r="A479" t="s">
        <v>653</v>
      </c>
      <c r="B479" s="2">
        <v>46066</v>
      </c>
      <c r="C479" t="s">
        <v>275</v>
      </c>
      <c r="D479" t="s">
        <v>15</v>
      </c>
      <c r="E479" t="s">
        <v>103</v>
      </c>
      <c r="F479" t="s">
        <v>23</v>
      </c>
      <c r="G479">
        <v>1</v>
      </c>
      <c r="H479" s="3">
        <v>3.25</v>
      </c>
      <c r="I479" s="3">
        <v>3.25</v>
      </c>
      <c r="J479" t="s">
        <v>27</v>
      </c>
      <c r="K479">
        <v>20</v>
      </c>
      <c r="L479">
        <v>10</v>
      </c>
      <c r="M479" t="s">
        <v>19</v>
      </c>
      <c r="N479">
        <f t="shared" si="14"/>
        <v>3.25</v>
      </c>
      <c r="O479" t="b">
        <f t="shared" si="15"/>
        <v>1</v>
      </c>
    </row>
    <row r="480" spans="1:15">
      <c r="A480" t="s">
        <v>654</v>
      </c>
      <c r="B480" s="2">
        <v>46116</v>
      </c>
      <c r="C480" t="s">
        <v>189</v>
      </c>
      <c r="D480" t="s">
        <v>35</v>
      </c>
      <c r="E480" t="s">
        <v>106</v>
      </c>
      <c r="F480" t="s">
        <v>17</v>
      </c>
      <c r="G480">
        <v>2</v>
      </c>
      <c r="H480" s="3">
        <v>15.95</v>
      </c>
      <c r="I480" s="3">
        <v>31.9</v>
      </c>
      <c r="J480" t="s">
        <v>27</v>
      </c>
      <c r="K480">
        <v>3</v>
      </c>
      <c r="L480">
        <v>27</v>
      </c>
      <c r="M480" t="s">
        <v>19</v>
      </c>
      <c r="N480">
        <f t="shared" si="14"/>
        <v>31.9</v>
      </c>
      <c r="O480" t="b">
        <f t="shared" si="15"/>
        <v>1</v>
      </c>
    </row>
    <row r="481" spans="1:15">
      <c r="A481" t="s">
        <v>655</v>
      </c>
      <c r="B481" s="2">
        <v>46220</v>
      </c>
      <c r="C481" t="s">
        <v>483</v>
      </c>
      <c r="D481" t="s">
        <v>15</v>
      </c>
      <c r="E481" t="s">
        <v>22</v>
      </c>
      <c r="F481" t="s">
        <v>23</v>
      </c>
      <c r="G481">
        <v>2</v>
      </c>
      <c r="H481" s="3">
        <v>3.1</v>
      </c>
      <c r="I481" s="3">
        <v>6.2</v>
      </c>
      <c r="J481" t="s">
        <v>18</v>
      </c>
      <c r="K481">
        <v>22</v>
      </c>
      <c r="L481">
        <v>5</v>
      </c>
      <c r="M481" t="s">
        <v>19</v>
      </c>
      <c r="N481">
        <f t="shared" si="14"/>
        <v>6.2</v>
      </c>
      <c r="O481" t="b">
        <f t="shared" si="15"/>
        <v>1</v>
      </c>
    </row>
    <row r="482" spans="1:15">
      <c r="A482" t="s">
        <v>656</v>
      </c>
      <c r="B482" s="2">
        <v>46099</v>
      </c>
      <c r="C482" t="s">
        <v>167</v>
      </c>
      <c r="D482" t="s">
        <v>35</v>
      </c>
      <c r="E482" t="s">
        <v>56</v>
      </c>
      <c r="F482" t="s">
        <v>23</v>
      </c>
      <c r="G482">
        <v>2</v>
      </c>
      <c r="H482" s="3">
        <v>3.75</v>
      </c>
      <c r="I482" s="3">
        <v>7.5</v>
      </c>
      <c r="J482" t="s">
        <v>18</v>
      </c>
      <c r="K482">
        <v>16</v>
      </c>
      <c r="L482">
        <v>10</v>
      </c>
      <c r="M482" t="s">
        <v>19</v>
      </c>
      <c r="N482">
        <f t="shared" si="14"/>
        <v>7.5</v>
      </c>
      <c r="O482" t="b">
        <f t="shared" si="15"/>
        <v>1</v>
      </c>
    </row>
    <row r="483" spans="1:15">
      <c r="A483" t="s">
        <v>657</v>
      </c>
      <c r="B483" s="2">
        <v>46023</v>
      </c>
      <c r="C483" t="s">
        <v>230</v>
      </c>
      <c r="D483" t="s">
        <v>35</v>
      </c>
      <c r="E483" t="s">
        <v>78</v>
      </c>
      <c r="F483" t="s">
        <v>47</v>
      </c>
      <c r="G483">
        <v>1</v>
      </c>
      <c r="H483" s="3">
        <v>7.25</v>
      </c>
      <c r="I483" s="3">
        <v>7.25</v>
      </c>
      <c r="J483" t="s">
        <v>27</v>
      </c>
      <c r="K483">
        <v>28</v>
      </c>
      <c r="L483">
        <v>19</v>
      </c>
      <c r="M483" t="s">
        <v>19</v>
      </c>
      <c r="N483">
        <f t="shared" si="14"/>
        <v>7.25</v>
      </c>
      <c r="O483" t="b">
        <f t="shared" si="15"/>
        <v>1</v>
      </c>
    </row>
    <row r="484" spans="1:15">
      <c r="A484" t="s">
        <v>658</v>
      </c>
      <c r="B484" s="2">
        <v>46294</v>
      </c>
      <c r="C484" t="s">
        <v>212</v>
      </c>
      <c r="D484" t="s">
        <v>35</v>
      </c>
      <c r="E484" t="s">
        <v>30</v>
      </c>
      <c r="F484" t="s">
        <v>31</v>
      </c>
      <c r="G484">
        <v>2</v>
      </c>
      <c r="H484" s="3">
        <v>8.5</v>
      </c>
      <c r="I484" s="3">
        <v>0</v>
      </c>
      <c r="J484" t="s">
        <v>27</v>
      </c>
      <c r="K484">
        <v>19</v>
      </c>
      <c r="L484">
        <v>29</v>
      </c>
      <c r="M484" t="s">
        <v>152</v>
      </c>
      <c r="N484">
        <f t="shared" si="14"/>
        <v>17</v>
      </c>
      <c r="O484" t="b">
        <f t="shared" si="15"/>
        <v>1</v>
      </c>
    </row>
    <row r="485" spans="1:15">
      <c r="A485" t="s">
        <v>659</v>
      </c>
      <c r="B485" s="2">
        <v>46091</v>
      </c>
      <c r="C485" t="s">
        <v>160</v>
      </c>
      <c r="D485" t="s">
        <v>15</v>
      </c>
      <c r="E485" t="s">
        <v>126</v>
      </c>
      <c r="F485" t="s">
        <v>31</v>
      </c>
      <c r="G485">
        <v>2</v>
      </c>
      <c r="H485" s="3">
        <v>7.95</v>
      </c>
      <c r="I485" s="3">
        <v>15.9</v>
      </c>
      <c r="J485" t="s">
        <v>27</v>
      </c>
      <c r="K485">
        <v>14</v>
      </c>
      <c r="L485">
        <v>9</v>
      </c>
      <c r="M485" t="s">
        <v>19</v>
      </c>
      <c r="N485">
        <f t="shared" si="14"/>
        <v>15.9</v>
      </c>
      <c r="O485" t="b">
        <f t="shared" si="15"/>
        <v>1</v>
      </c>
    </row>
    <row r="486" spans="1:15">
      <c r="A486" t="s">
        <v>660</v>
      </c>
      <c r="B486" s="2">
        <v>46025</v>
      </c>
      <c r="C486" t="s">
        <v>182</v>
      </c>
      <c r="D486" t="s">
        <v>35</v>
      </c>
      <c r="E486" t="s">
        <v>22</v>
      </c>
      <c r="F486" t="s">
        <v>23</v>
      </c>
      <c r="G486">
        <v>1</v>
      </c>
      <c r="H486" s="3">
        <v>3.1</v>
      </c>
      <c r="I486" s="3">
        <v>3.1</v>
      </c>
      <c r="J486" t="s">
        <v>27</v>
      </c>
      <c r="K486">
        <v>26</v>
      </c>
      <c r="L486">
        <v>10</v>
      </c>
      <c r="M486" t="s">
        <v>19</v>
      </c>
      <c r="N486">
        <f t="shared" si="14"/>
        <v>3.1</v>
      </c>
      <c r="O486" t="b">
        <f t="shared" si="15"/>
        <v>1</v>
      </c>
    </row>
    <row r="487" spans="1:15">
      <c r="A487" t="s">
        <v>661</v>
      </c>
      <c r="B487" s="2">
        <v>46208</v>
      </c>
      <c r="C487" t="s">
        <v>128</v>
      </c>
      <c r="D487" t="s">
        <v>15</v>
      </c>
      <c r="E487" t="s">
        <v>121</v>
      </c>
      <c r="F487" t="s">
        <v>23</v>
      </c>
      <c r="G487">
        <v>1</v>
      </c>
      <c r="H487" s="3">
        <v>6.5</v>
      </c>
      <c r="I487" s="3">
        <v>6.5</v>
      </c>
      <c r="J487" t="s">
        <v>18</v>
      </c>
      <c r="K487">
        <v>14</v>
      </c>
      <c r="L487">
        <v>11</v>
      </c>
      <c r="M487" t="s">
        <v>19</v>
      </c>
      <c r="N487">
        <f t="shared" si="14"/>
        <v>6.5</v>
      </c>
      <c r="O487" t="b">
        <f t="shared" si="15"/>
        <v>1</v>
      </c>
    </row>
    <row r="488" spans="1:15">
      <c r="A488" t="s">
        <v>662</v>
      </c>
      <c r="B488" s="2">
        <v>46164</v>
      </c>
      <c r="C488" t="s">
        <v>205</v>
      </c>
      <c r="D488" t="s">
        <v>35</v>
      </c>
      <c r="E488" t="s">
        <v>78</v>
      </c>
      <c r="F488" t="s">
        <v>47</v>
      </c>
      <c r="G488">
        <v>1</v>
      </c>
      <c r="H488" s="3">
        <v>7.25</v>
      </c>
      <c r="I488" s="3">
        <v>7.25</v>
      </c>
      <c r="J488" t="s">
        <v>18</v>
      </c>
      <c r="K488">
        <v>18</v>
      </c>
      <c r="L488">
        <v>14</v>
      </c>
      <c r="M488" t="s">
        <v>19</v>
      </c>
      <c r="N488">
        <f t="shared" si="14"/>
        <v>7.25</v>
      </c>
      <c r="O488" t="b">
        <f t="shared" si="15"/>
        <v>1</v>
      </c>
    </row>
    <row r="489" spans="1:15">
      <c r="A489" t="s">
        <v>663</v>
      </c>
      <c r="B489" s="2">
        <v>46180</v>
      </c>
      <c r="C489" t="s">
        <v>55</v>
      </c>
      <c r="D489" t="s">
        <v>35</v>
      </c>
      <c r="E489" t="s">
        <v>50</v>
      </c>
      <c r="F489" t="s">
        <v>17</v>
      </c>
      <c r="G489">
        <v>2</v>
      </c>
      <c r="H489" s="3">
        <v>14.5</v>
      </c>
      <c r="I489" s="3">
        <v>29</v>
      </c>
      <c r="J489" t="s">
        <v>18</v>
      </c>
      <c r="K489">
        <v>4</v>
      </c>
      <c r="L489">
        <v>20</v>
      </c>
      <c r="M489" t="s">
        <v>19</v>
      </c>
      <c r="N489">
        <f t="shared" si="14"/>
        <v>29</v>
      </c>
      <c r="O489" t="b">
        <f t="shared" si="15"/>
        <v>1</v>
      </c>
    </row>
    <row r="490" spans="1:15">
      <c r="A490" t="s">
        <v>664</v>
      </c>
      <c r="B490" s="2">
        <v>46251</v>
      </c>
      <c r="C490" t="s">
        <v>169</v>
      </c>
      <c r="D490" t="s">
        <v>35</v>
      </c>
      <c r="E490" t="s">
        <v>70</v>
      </c>
      <c r="F490" t="s">
        <v>17</v>
      </c>
      <c r="G490">
        <v>1</v>
      </c>
      <c r="H490" s="3">
        <v>12.5</v>
      </c>
      <c r="I490" s="3">
        <v>12.5</v>
      </c>
      <c r="J490" t="s">
        <v>18</v>
      </c>
      <c r="K490">
        <v>22</v>
      </c>
      <c r="L490">
        <v>22</v>
      </c>
      <c r="M490" t="s">
        <v>19</v>
      </c>
      <c r="N490">
        <f t="shared" si="14"/>
        <v>12.5</v>
      </c>
      <c r="O490" t="b">
        <f t="shared" si="15"/>
        <v>1</v>
      </c>
    </row>
    <row r="491" spans="1:15">
      <c r="A491" t="s">
        <v>665</v>
      </c>
      <c r="B491" s="2">
        <v>46105</v>
      </c>
      <c r="C491" t="s">
        <v>366</v>
      </c>
      <c r="D491" t="s">
        <v>35</v>
      </c>
      <c r="E491" t="s">
        <v>39</v>
      </c>
      <c r="F491" t="s">
        <v>17</v>
      </c>
      <c r="G491">
        <v>2</v>
      </c>
      <c r="H491" s="3">
        <v>12.95</v>
      </c>
      <c r="I491" s="3">
        <v>25.9</v>
      </c>
      <c r="J491" t="s">
        <v>18</v>
      </c>
      <c r="K491">
        <v>30</v>
      </c>
      <c r="L491">
        <v>12</v>
      </c>
      <c r="M491" t="s">
        <v>19</v>
      </c>
      <c r="N491">
        <f t="shared" si="14"/>
        <v>25.9</v>
      </c>
      <c r="O491" t="b">
        <f t="shared" si="15"/>
        <v>1</v>
      </c>
    </row>
    <row r="492" spans="1:15">
      <c r="A492" t="s">
        <v>666</v>
      </c>
      <c r="B492" s="2">
        <v>46068</v>
      </c>
      <c r="C492" t="s">
        <v>175</v>
      </c>
      <c r="D492" t="s">
        <v>15</v>
      </c>
      <c r="E492" t="s">
        <v>39</v>
      </c>
      <c r="F492" t="s">
        <v>17</v>
      </c>
      <c r="G492">
        <v>2</v>
      </c>
      <c r="H492" s="3">
        <v>12.95</v>
      </c>
      <c r="I492" s="3">
        <v>25.9</v>
      </c>
      <c r="J492" t="s">
        <v>18</v>
      </c>
      <c r="K492">
        <v>20</v>
      </c>
      <c r="L492">
        <v>5</v>
      </c>
      <c r="M492" t="s">
        <v>19</v>
      </c>
      <c r="N492">
        <f t="shared" si="14"/>
        <v>25.9</v>
      </c>
      <c r="O492" t="b">
        <f t="shared" si="15"/>
        <v>1</v>
      </c>
    </row>
    <row r="493" spans="1:15">
      <c r="A493" t="s">
        <v>667</v>
      </c>
      <c r="B493" s="2">
        <v>46169</v>
      </c>
      <c r="C493" t="s">
        <v>191</v>
      </c>
      <c r="D493" t="s">
        <v>35</v>
      </c>
      <c r="E493" t="s">
        <v>106</v>
      </c>
      <c r="F493" t="s">
        <v>17</v>
      </c>
      <c r="G493">
        <v>2</v>
      </c>
      <c r="H493" s="3">
        <v>15.95</v>
      </c>
      <c r="I493" s="3">
        <v>31.9</v>
      </c>
      <c r="J493" t="s">
        <v>27</v>
      </c>
      <c r="K493">
        <v>1</v>
      </c>
      <c r="L493">
        <v>31</v>
      </c>
      <c r="M493" t="s">
        <v>19</v>
      </c>
      <c r="N493">
        <f t="shared" si="14"/>
        <v>31.9</v>
      </c>
      <c r="O493" t="b">
        <f t="shared" si="15"/>
        <v>1</v>
      </c>
    </row>
    <row r="494" spans="1:15">
      <c r="A494" t="s">
        <v>668</v>
      </c>
      <c r="B494" s="2">
        <v>46288</v>
      </c>
      <c r="C494" t="s">
        <v>391</v>
      </c>
      <c r="D494" t="s">
        <v>15</v>
      </c>
      <c r="E494" t="s">
        <v>22</v>
      </c>
      <c r="F494" t="s">
        <v>23</v>
      </c>
      <c r="G494">
        <v>1</v>
      </c>
      <c r="H494" s="3">
        <v>3.1</v>
      </c>
      <c r="I494" s="3">
        <v>3.1</v>
      </c>
      <c r="J494" t="s">
        <v>27</v>
      </c>
      <c r="K494">
        <v>12</v>
      </c>
      <c r="L494">
        <v>2</v>
      </c>
      <c r="M494" t="s">
        <v>19</v>
      </c>
      <c r="N494">
        <f t="shared" si="14"/>
        <v>3.1</v>
      </c>
      <c r="O494" t="b">
        <f t="shared" si="15"/>
        <v>1</v>
      </c>
    </row>
    <row r="495" spans="1:15">
      <c r="A495" t="s">
        <v>669</v>
      </c>
      <c r="B495" s="2">
        <v>46023</v>
      </c>
      <c r="C495" t="s">
        <v>431</v>
      </c>
      <c r="D495" t="s">
        <v>35</v>
      </c>
      <c r="E495" t="s">
        <v>46</v>
      </c>
      <c r="F495" t="s">
        <v>47</v>
      </c>
      <c r="G495">
        <v>1</v>
      </c>
      <c r="H495" s="3">
        <v>6.95</v>
      </c>
      <c r="I495" s="3">
        <v>6.95</v>
      </c>
      <c r="J495" t="s">
        <v>18</v>
      </c>
      <c r="K495">
        <v>13</v>
      </c>
      <c r="L495">
        <v>14</v>
      </c>
      <c r="M495" t="s">
        <v>19</v>
      </c>
      <c r="N495">
        <f t="shared" si="14"/>
        <v>6.95</v>
      </c>
      <c r="O495" t="b">
        <f t="shared" si="15"/>
        <v>1</v>
      </c>
    </row>
    <row r="496" spans="1:15">
      <c r="A496" t="s">
        <v>670</v>
      </c>
      <c r="B496" s="2">
        <v>46288</v>
      </c>
      <c r="C496" t="s">
        <v>322</v>
      </c>
      <c r="D496" t="s">
        <v>15</v>
      </c>
      <c r="E496" t="s">
        <v>36</v>
      </c>
      <c r="F496" t="s">
        <v>23</v>
      </c>
      <c r="G496">
        <v>1</v>
      </c>
      <c r="H496" s="3">
        <v>2.8</v>
      </c>
      <c r="I496" s="3">
        <v>2.8</v>
      </c>
      <c r="J496" t="s">
        <v>27</v>
      </c>
      <c r="K496">
        <v>27</v>
      </c>
      <c r="L496">
        <v>13</v>
      </c>
      <c r="M496" t="s">
        <v>19</v>
      </c>
      <c r="N496">
        <f t="shared" si="14"/>
        <v>2.8</v>
      </c>
      <c r="O496" t="b">
        <f t="shared" si="15"/>
        <v>1</v>
      </c>
    </row>
    <row r="497" spans="1:15">
      <c r="A497" t="s">
        <v>671</v>
      </c>
      <c r="B497" s="2">
        <v>46122</v>
      </c>
      <c r="C497" t="s">
        <v>52</v>
      </c>
      <c r="D497" t="s">
        <v>35</v>
      </c>
      <c r="E497" t="s">
        <v>26</v>
      </c>
      <c r="F497" t="s">
        <v>17</v>
      </c>
      <c r="G497">
        <v>1</v>
      </c>
      <c r="H497" s="3">
        <v>11.5</v>
      </c>
      <c r="I497" s="3">
        <v>11.5</v>
      </c>
      <c r="J497" t="s">
        <v>27</v>
      </c>
      <c r="K497">
        <v>17</v>
      </c>
      <c r="L497">
        <v>17</v>
      </c>
      <c r="M497" t="s">
        <v>19</v>
      </c>
      <c r="N497">
        <f t="shared" si="14"/>
        <v>11.5</v>
      </c>
      <c r="O497" t="b">
        <f t="shared" si="15"/>
        <v>1</v>
      </c>
    </row>
    <row r="498" spans="1:15">
      <c r="A498" t="s">
        <v>672</v>
      </c>
      <c r="B498" s="2">
        <v>46060</v>
      </c>
      <c r="C498" t="s">
        <v>387</v>
      </c>
      <c r="D498" t="s">
        <v>35</v>
      </c>
      <c r="E498" t="s">
        <v>22</v>
      </c>
      <c r="F498" t="s">
        <v>23</v>
      </c>
      <c r="G498">
        <v>3</v>
      </c>
      <c r="H498" s="3">
        <v>3.1</v>
      </c>
      <c r="I498" s="3">
        <v>9.3000000000000007</v>
      </c>
      <c r="J498" t="s">
        <v>18</v>
      </c>
      <c r="K498">
        <v>23</v>
      </c>
      <c r="L498">
        <v>16</v>
      </c>
      <c r="M498" t="s">
        <v>19</v>
      </c>
      <c r="N498">
        <f t="shared" si="14"/>
        <v>9.3000000000000007</v>
      </c>
      <c r="O498" t="b">
        <f t="shared" si="15"/>
        <v>1</v>
      </c>
    </row>
    <row r="499" spans="1:15">
      <c r="A499" t="s">
        <v>673</v>
      </c>
      <c r="B499" s="2">
        <v>46216</v>
      </c>
      <c r="C499" t="s">
        <v>245</v>
      </c>
      <c r="D499" t="s">
        <v>35</v>
      </c>
      <c r="E499" t="s">
        <v>96</v>
      </c>
      <c r="F499" t="s">
        <v>47</v>
      </c>
      <c r="G499">
        <v>2</v>
      </c>
      <c r="H499" s="3">
        <v>5.75</v>
      </c>
      <c r="I499" s="3">
        <v>11.5</v>
      </c>
      <c r="J499" t="s">
        <v>27</v>
      </c>
      <c r="K499">
        <v>28</v>
      </c>
      <c r="L499">
        <v>12</v>
      </c>
      <c r="M499" t="s">
        <v>19</v>
      </c>
      <c r="N499">
        <f t="shared" si="14"/>
        <v>11.5</v>
      </c>
      <c r="O499" t="b">
        <f t="shared" si="15"/>
        <v>1</v>
      </c>
    </row>
    <row r="500" spans="1:15">
      <c r="A500" t="s">
        <v>674</v>
      </c>
      <c r="B500" s="2">
        <v>46082</v>
      </c>
      <c r="C500" t="s">
        <v>128</v>
      </c>
      <c r="D500" t="s">
        <v>15</v>
      </c>
      <c r="E500" t="s">
        <v>16</v>
      </c>
      <c r="F500" t="s">
        <v>17</v>
      </c>
      <c r="G500">
        <v>2</v>
      </c>
      <c r="H500" s="3">
        <v>9.9499999999999993</v>
      </c>
      <c r="I500" s="3">
        <v>19.899999999999999</v>
      </c>
      <c r="J500" t="s">
        <v>18</v>
      </c>
      <c r="K500">
        <v>12</v>
      </c>
      <c r="L500">
        <v>17</v>
      </c>
      <c r="M500" t="s">
        <v>19</v>
      </c>
      <c r="N500">
        <f t="shared" si="14"/>
        <v>19.899999999999999</v>
      </c>
      <c r="O500" t="b">
        <f t="shared" si="15"/>
        <v>1</v>
      </c>
    </row>
    <row r="501" spans="1:15">
      <c r="A501" t="s">
        <v>675</v>
      </c>
      <c r="B501" s="2">
        <v>46027</v>
      </c>
      <c r="C501" t="s">
        <v>228</v>
      </c>
      <c r="D501" t="s">
        <v>35</v>
      </c>
      <c r="E501" t="s">
        <v>126</v>
      </c>
      <c r="F501" t="s">
        <v>31</v>
      </c>
      <c r="G501">
        <v>1</v>
      </c>
      <c r="H501" s="3">
        <v>7.95</v>
      </c>
      <c r="I501" s="3">
        <v>7.95</v>
      </c>
      <c r="J501" t="s">
        <v>32</v>
      </c>
      <c r="K501">
        <v>24</v>
      </c>
      <c r="L501">
        <v>14</v>
      </c>
      <c r="M501" t="s">
        <v>19</v>
      </c>
      <c r="N501">
        <f t="shared" si="14"/>
        <v>7.95</v>
      </c>
      <c r="O501" t="b">
        <f t="shared" si="15"/>
        <v>1</v>
      </c>
    </row>
    <row r="502" spans="1:15">
      <c r="A502" t="s">
        <v>676</v>
      </c>
      <c r="B502" s="2">
        <v>46061</v>
      </c>
      <c r="C502" t="s">
        <v>167</v>
      </c>
      <c r="D502" t="s">
        <v>35</v>
      </c>
      <c r="E502" t="s">
        <v>93</v>
      </c>
      <c r="F502" t="s">
        <v>31</v>
      </c>
      <c r="G502">
        <v>1</v>
      </c>
      <c r="H502" s="3">
        <v>6.25</v>
      </c>
      <c r="I502" s="3">
        <v>6.25</v>
      </c>
      <c r="J502" t="s">
        <v>53</v>
      </c>
      <c r="K502">
        <v>22</v>
      </c>
      <c r="L502">
        <v>18</v>
      </c>
      <c r="M502" t="s">
        <v>19</v>
      </c>
      <c r="N502">
        <f t="shared" si="14"/>
        <v>6.25</v>
      </c>
      <c r="O502" t="b">
        <f t="shared" si="15"/>
        <v>1</v>
      </c>
    </row>
    <row r="503" spans="1:15">
      <c r="A503" t="s">
        <v>677</v>
      </c>
      <c r="B503" s="2">
        <v>46120</v>
      </c>
      <c r="C503" t="s">
        <v>116</v>
      </c>
      <c r="D503" t="s">
        <v>35</v>
      </c>
      <c r="E503" t="s">
        <v>16</v>
      </c>
      <c r="F503" t="s">
        <v>17</v>
      </c>
      <c r="G503">
        <v>2</v>
      </c>
      <c r="H503" s="3">
        <v>9.9499999999999993</v>
      </c>
      <c r="I503" s="3">
        <v>19.899999999999999</v>
      </c>
      <c r="J503" t="s">
        <v>27</v>
      </c>
      <c r="K503">
        <v>8</v>
      </c>
      <c r="L503">
        <v>34</v>
      </c>
      <c r="M503" t="s">
        <v>19</v>
      </c>
      <c r="N503">
        <f t="shared" si="14"/>
        <v>19.899999999999999</v>
      </c>
      <c r="O503" t="b">
        <f t="shared" si="15"/>
        <v>1</v>
      </c>
    </row>
    <row r="504" spans="1:15">
      <c r="A504" t="s">
        <v>678</v>
      </c>
      <c r="B504" s="2">
        <v>46150</v>
      </c>
      <c r="C504" t="s">
        <v>120</v>
      </c>
      <c r="D504" t="s">
        <v>35</v>
      </c>
      <c r="E504" t="s">
        <v>59</v>
      </c>
      <c r="F504" t="s">
        <v>17</v>
      </c>
      <c r="G504">
        <v>1</v>
      </c>
      <c r="H504" s="3">
        <v>11.95</v>
      </c>
      <c r="I504" s="3">
        <v>11.95</v>
      </c>
      <c r="J504" t="s">
        <v>27</v>
      </c>
      <c r="K504">
        <v>20</v>
      </c>
      <c r="L504">
        <v>16</v>
      </c>
      <c r="M504" t="s">
        <v>19</v>
      </c>
      <c r="N504">
        <f t="shared" si="14"/>
        <v>11.95</v>
      </c>
      <c r="O504" t="b">
        <f t="shared" si="15"/>
        <v>1</v>
      </c>
    </row>
    <row r="505" spans="1:15">
      <c r="A505" t="s">
        <v>679</v>
      </c>
      <c r="B505" s="2">
        <v>46044</v>
      </c>
      <c r="C505" t="s">
        <v>273</v>
      </c>
      <c r="D505" t="s">
        <v>35</v>
      </c>
      <c r="E505" t="s">
        <v>93</v>
      </c>
      <c r="F505" t="s">
        <v>31</v>
      </c>
      <c r="G505">
        <v>1</v>
      </c>
      <c r="H505" s="3">
        <v>6.25</v>
      </c>
      <c r="I505" s="3">
        <v>6.25</v>
      </c>
      <c r="J505" t="s">
        <v>27</v>
      </c>
      <c r="K505">
        <v>28</v>
      </c>
      <c r="L505">
        <v>12</v>
      </c>
      <c r="M505" t="s">
        <v>19</v>
      </c>
      <c r="N505">
        <f t="shared" si="14"/>
        <v>6.25</v>
      </c>
      <c r="O505" t="b">
        <f t="shared" si="15"/>
        <v>1</v>
      </c>
    </row>
    <row r="506" spans="1:15">
      <c r="A506" t="s">
        <v>680</v>
      </c>
      <c r="B506" s="2">
        <v>46116</v>
      </c>
      <c r="C506" t="s">
        <v>189</v>
      </c>
      <c r="D506" t="s">
        <v>35</v>
      </c>
      <c r="E506" t="s">
        <v>46</v>
      </c>
      <c r="F506" t="s">
        <v>47</v>
      </c>
      <c r="G506">
        <v>1</v>
      </c>
      <c r="H506" s="3">
        <v>6.95</v>
      </c>
      <c r="I506" s="3">
        <v>6.95</v>
      </c>
      <c r="J506" t="s">
        <v>18</v>
      </c>
      <c r="K506">
        <v>14</v>
      </c>
      <c r="L506">
        <v>25</v>
      </c>
      <c r="M506" t="s">
        <v>19</v>
      </c>
      <c r="N506">
        <f t="shared" si="14"/>
        <v>6.95</v>
      </c>
      <c r="O506" t="b">
        <f t="shared" si="15"/>
        <v>1</v>
      </c>
    </row>
    <row r="507" spans="1:15">
      <c r="A507" t="s">
        <v>681</v>
      </c>
      <c r="B507" s="2">
        <v>46039</v>
      </c>
      <c r="C507" t="s">
        <v>137</v>
      </c>
      <c r="D507" t="s">
        <v>35</v>
      </c>
      <c r="E507" t="s">
        <v>106</v>
      </c>
      <c r="F507" t="s">
        <v>17</v>
      </c>
      <c r="G507">
        <v>1</v>
      </c>
      <c r="H507" s="3">
        <v>15.95</v>
      </c>
      <c r="I507" s="3">
        <v>15.95</v>
      </c>
      <c r="J507" t="s">
        <v>18</v>
      </c>
      <c r="K507">
        <v>23</v>
      </c>
      <c r="L507">
        <v>25</v>
      </c>
      <c r="M507" t="s">
        <v>19</v>
      </c>
      <c r="N507">
        <f t="shared" si="14"/>
        <v>15.95</v>
      </c>
      <c r="O507" t="b">
        <f t="shared" si="15"/>
        <v>1</v>
      </c>
    </row>
    <row r="508" spans="1:15">
      <c r="A508" t="s">
        <v>682</v>
      </c>
      <c r="B508" s="2">
        <v>46184</v>
      </c>
      <c r="C508" t="s">
        <v>199</v>
      </c>
      <c r="D508" t="s">
        <v>35</v>
      </c>
      <c r="E508" t="s">
        <v>70</v>
      </c>
      <c r="F508" t="s">
        <v>17</v>
      </c>
      <c r="G508">
        <v>1</v>
      </c>
      <c r="H508" s="3">
        <v>12.5</v>
      </c>
      <c r="I508" s="3">
        <v>12.5</v>
      </c>
      <c r="J508" t="s">
        <v>27</v>
      </c>
      <c r="K508">
        <v>9</v>
      </c>
      <c r="L508">
        <v>16</v>
      </c>
      <c r="M508" t="s">
        <v>19</v>
      </c>
      <c r="N508">
        <f t="shared" si="14"/>
        <v>12.5</v>
      </c>
      <c r="O508" t="b">
        <f t="shared" si="15"/>
        <v>1</v>
      </c>
    </row>
    <row r="509" spans="1:15">
      <c r="A509" t="s">
        <v>683</v>
      </c>
      <c r="B509" s="2">
        <v>46157</v>
      </c>
      <c r="C509" t="s">
        <v>307</v>
      </c>
      <c r="D509" t="s">
        <v>15</v>
      </c>
      <c r="E509" t="s">
        <v>93</v>
      </c>
      <c r="F509" t="s">
        <v>31</v>
      </c>
      <c r="G509">
        <v>1</v>
      </c>
      <c r="H509" s="3">
        <v>6.25</v>
      </c>
      <c r="I509" s="3">
        <v>6.25</v>
      </c>
      <c r="J509" t="s">
        <v>27</v>
      </c>
      <c r="K509">
        <v>14</v>
      </c>
      <c r="L509">
        <v>23</v>
      </c>
      <c r="M509" t="s">
        <v>19</v>
      </c>
      <c r="N509">
        <f t="shared" si="14"/>
        <v>6.25</v>
      </c>
      <c r="O509" t="b">
        <f t="shared" si="15"/>
        <v>1</v>
      </c>
    </row>
    <row r="510" spans="1:15">
      <c r="A510" t="s">
        <v>684</v>
      </c>
      <c r="B510" s="2">
        <v>46213</v>
      </c>
      <c r="C510" t="s">
        <v>43</v>
      </c>
      <c r="D510" t="s">
        <v>15</v>
      </c>
      <c r="E510" t="s">
        <v>96</v>
      </c>
      <c r="F510" t="s">
        <v>47</v>
      </c>
      <c r="G510">
        <v>1</v>
      </c>
      <c r="H510" s="3">
        <v>5.75</v>
      </c>
      <c r="I510" s="3">
        <v>5.75</v>
      </c>
      <c r="J510" t="s">
        <v>27</v>
      </c>
      <c r="K510">
        <v>27</v>
      </c>
      <c r="L510">
        <v>25</v>
      </c>
      <c r="M510" t="s">
        <v>19</v>
      </c>
      <c r="N510">
        <f t="shared" si="14"/>
        <v>5.75</v>
      </c>
      <c r="O510" t="b">
        <f t="shared" si="15"/>
        <v>1</v>
      </c>
    </row>
    <row r="511" spans="1:15">
      <c r="A511" t="s">
        <v>685</v>
      </c>
      <c r="B511" s="2">
        <v>46161</v>
      </c>
      <c r="C511" t="s">
        <v>145</v>
      </c>
      <c r="D511" t="s">
        <v>35</v>
      </c>
      <c r="E511" t="s">
        <v>46</v>
      </c>
      <c r="F511" t="s">
        <v>47</v>
      </c>
      <c r="G511">
        <v>1</v>
      </c>
      <c r="H511" s="3">
        <v>6.95</v>
      </c>
      <c r="I511" s="3">
        <v>0</v>
      </c>
      <c r="J511" t="s">
        <v>18</v>
      </c>
      <c r="K511">
        <v>5</v>
      </c>
      <c r="L511">
        <v>18</v>
      </c>
      <c r="M511" t="s">
        <v>152</v>
      </c>
      <c r="N511">
        <f t="shared" si="14"/>
        <v>6.95</v>
      </c>
      <c r="O511" t="b">
        <f t="shared" si="15"/>
        <v>1</v>
      </c>
    </row>
    <row r="512" spans="1:15">
      <c r="A512" t="s">
        <v>686</v>
      </c>
      <c r="B512" s="2">
        <v>46027</v>
      </c>
      <c r="C512" t="s">
        <v>150</v>
      </c>
      <c r="D512" t="s">
        <v>15</v>
      </c>
      <c r="E512" t="s">
        <v>22</v>
      </c>
      <c r="F512" t="s">
        <v>23</v>
      </c>
      <c r="G512">
        <v>1</v>
      </c>
      <c r="H512" s="3">
        <v>3.1</v>
      </c>
      <c r="I512" s="3">
        <v>3.1</v>
      </c>
      <c r="J512" t="s">
        <v>53</v>
      </c>
      <c r="K512">
        <v>18</v>
      </c>
      <c r="L512">
        <v>10</v>
      </c>
      <c r="M512" t="s">
        <v>19</v>
      </c>
      <c r="N512">
        <f t="shared" si="14"/>
        <v>3.1</v>
      </c>
      <c r="O512" t="b">
        <f t="shared" si="15"/>
        <v>1</v>
      </c>
    </row>
    <row r="513" spans="1:15">
      <c r="A513" t="s">
        <v>687</v>
      </c>
      <c r="B513" s="2">
        <v>46047</v>
      </c>
      <c r="C513" t="s">
        <v>112</v>
      </c>
      <c r="D513" t="s">
        <v>35</v>
      </c>
      <c r="E513" t="s">
        <v>83</v>
      </c>
      <c r="F513" t="s">
        <v>17</v>
      </c>
      <c r="G513">
        <v>1</v>
      </c>
      <c r="H513" s="3">
        <v>13.5</v>
      </c>
      <c r="I513" s="3">
        <v>13.5</v>
      </c>
      <c r="J513" t="s">
        <v>32</v>
      </c>
      <c r="K513">
        <v>16</v>
      </c>
      <c r="L513">
        <v>15</v>
      </c>
      <c r="M513" t="s">
        <v>19</v>
      </c>
      <c r="N513">
        <f t="shared" si="14"/>
        <v>13.5</v>
      </c>
      <c r="O513" t="b">
        <f t="shared" si="15"/>
        <v>1</v>
      </c>
    </row>
    <row r="514" spans="1:15">
      <c r="A514" t="s">
        <v>688</v>
      </c>
      <c r="B514" s="2">
        <v>46072</v>
      </c>
      <c r="C514" t="s">
        <v>374</v>
      </c>
      <c r="D514" t="s">
        <v>35</v>
      </c>
      <c r="E514" t="s">
        <v>30</v>
      </c>
      <c r="F514" t="s">
        <v>31</v>
      </c>
      <c r="G514">
        <v>1</v>
      </c>
      <c r="H514" s="3">
        <v>8.5</v>
      </c>
      <c r="I514" s="3">
        <v>8.5</v>
      </c>
      <c r="J514" t="s">
        <v>18</v>
      </c>
      <c r="K514">
        <v>1</v>
      </c>
      <c r="L514">
        <v>24</v>
      </c>
      <c r="M514" t="s">
        <v>19</v>
      </c>
      <c r="N514">
        <f t="shared" ref="N514:N577" si="16">G514*H514</f>
        <v>8.5</v>
      </c>
      <c r="O514" t="b">
        <f t="shared" ref="O514:O577" si="17">OR(AND(M514="Completed",I514=N514),AND(M514="Refunded",ABS(I514)=N514),AND(M514="Cancelled",I514=0))</f>
        <v>1</v>
      </c>
    </row>
    <row r="515" spans="1:15">
      <c r="A515" t="s">
        <v>689</v>
      </c>
      <c r="B515" s="2">
        <v>46202</v>
      </c>
      <c r="C515" t="s">
        <v>156</v>
      </c>
      <c r="D515" t="s">
        <v>35</v>
      </c>
      <c r="E515" t="s">
        <v>121</v>
      </c>
      <c r="F515" t="s">
        <v>23</v>
      </c>
      <c r="G515">
        <v>1</v>
      </c>
      <c r="H515" s="3">
        <v>6.5</v>
      </c>
      <c r="I515" s="3">
        <v>6.5</v>
      </c>
      <c r="J515" t="s">
        <v>27</v>
      </c>
      <c r="K515">
        <v>18</v>
      </c>
      <c r="L515">
        <v>11</v>
      </c>
      <c r="M515" t="s">
        <v>19</v>
      </c>
      <c r="N515">
        <f t="shared" si="16"/>
        <v>6.5</v>
      </c>
      <c r="O515" t="b">
        <f t="shared" si="17"/>
        <v>1</v>
      </c>
    </row>
    <row r="516" spans="1:15">
      <c r="A516" t="s">
        <v>690</v>
      </c>
      <c r="B516" s="2">
        <v>46168</v>
      </c>
      <c r="C516" t="s">
        <v>275</v>
      </c>
      <c r="D516" t="s">
        <v>15</v>
      </c>
      <c r="E516" t="s">
        <v>96</v>
      </c>
      <c r="F516" t="s">
        <v>47</v>
      </c>
      <c r="G516">
        <v>3</v>
      </c>
      <c r="H516" s="3">
        <v>5.75</v>
      </c>
      <c r="I516" s="3">
        <v>17.25</v>
      </c>
      <c r="J516" t="s">
        <v>53</v>
      </c>
      <c r="K516">
        <v>5</v>
      </c>
      <c r="L516">
        <v>10</v>
      </c>
      <c r="M516" t="s">
        <v>19</v>
      </c>
      <c r="N516">
        <f t="shared" si="16"/>
        <v>17.25</v>
      </c>
      <c r="O516" t="b">
        <f t="shared" si="17"/>
        <v>1</v>
      </c>
    </row>
    <row r="517" spans="1:15">
      <c r="A517" t="s">
        <v>691</v>
      </c>
      <c r="B517" s="2">
        <v>46195</v>
      </c>
      <c r="C517" t="s">
        <v>193</v>
      </c>
      <c r="D517" t="s">
        <v>35</v>
      </c>
      <c r="E517" t="s">
        <v>46</v>
      </c>
      <c r="F517" t="s">
        <v>47</v>
      </c>
      <c r="G517">
        <v>2</v>
      </c>
      <c r="H517" s="3">
        <v>6.95</v>
      </c>
      <c r="I517" s="3">
        <v>13.9</v>
      </c>
      <c r="J517" t="s">
        <v>27</v>
      </c>
      <c r="K517">
        <v>3</v>
      </c>
      <c r="L517">
        <v>15</v>
      </c>
      <c r="M517" t="s">
        <v>19</v>
      </c>
      <c r="N517">
        <f t="shared" si="16"/>
        <v>13.9</v>
      </c>
      <c r="O517" t="b">
        <f t="shared" si="17"/>
        <v>1</v>
      </c>
    </row>
    <row r="518" spans="1:15">
      <c r="A518" t="s">
        <v>692</v>
      </c>
      <c r="B518" s="2">
        <v>46139</v>
      </c>
      <c r="C518" t="s">
        <v>328</v>
      </c>
      <c r="D518" t="s">
        <v>15</v>
      </c>
      <c r="E518" t="s">
        <v>41</v>
      </c>
      <c r="F518" t="s">
        <v>31</v>
      </c>
      <c r="G518">
        <v>2</v>
      </c>
      <c r="H518" s="3">
        <v>5.5</v>
      </c>
      <c r="I518" s="3">
        <v>11</v>
      </c>
      <c r="J518" t="s">
        <v>53</v>
      </c>
      <c r="K518">
        <v>28</v>
      </c>
      <c r="L518">
        <v>15</v>
      </c>
      <c r="M518" t="s">
        <v>19</v>
      </c>
      <c r="N518">
        <f t="shared" si="16"/>
        <v>11</v>
      </c>
      <c r="O518" t="b">
        <f t="shared" si="17"/>
        <v>1</v>
      </c>
    </row>
    <row r="519" spans="1:15">
      <c r="A519" t="s">
        <v>693</v>
      </c>
      <c r="B519" s="2">
        <v>46289</v>
      </c>
      <c r="C519" t="s">
        <v>148</v>
      </c>
      <c r="D519" t="s">
        <v>35</v>
      </c>
      <c r="E519" t="s">
        <v>106</v>
      </c>
      <c r="F519" t="s">
        <v>17</v>
      </c>
      <c r="G519">
        <v>2</v>
      </c>
      <c r="H519" s="3">
        <v>15.95</v>
      </c>
      <c r="I519" s="3">
        <v>31.9</v>
      </c>
      <c r="J519" t="s">
        <v>27</v>
      </c>
      <c r="K519">
        <v>24</v>
      </c>
      <c r="L519">
        <v>26</v>
      </c>
      <c r="M519" t="s">
        <v>19</v>
      </c>
      <c r="N519">
        <f t="shared" si="16"/>
        <v>31.9</v>
      </c>
      <c r="O519" t="b">
        <f t="shared" si="17"/>
        <v>1</v>
      </c>
    </row>
    <row r="520" spans="1:15">
      <c r="A520" t="s">
        <v>694</v>
      </c>
      <c r="B520" s="2">
        <v>46151</v>
      </c>
      <c r="C520" t="s">
        <v>615</v>
      </c>
      <c r="D520" t="s">
        <v>35</v>
      </c>
      <c r="E520" t="s">
        <v>39</v>
      </c>
      <c r="F520" t="s">
        <v>17</v>
      </c>
      <c r="G520">
        <v>1</v>
      </c>
      <c r="H520" s="3">
        <v>12.95</v>
      </c>
      <c r="I520" s="3">
        <v>12.95</v>
      </c>
      <c r="J520" t="s">
        <v>18</v>
      </c>
      <c r="K520">
        <v>29</v>
      </c>
      <c r="L520">
        <v>21</v>
      </c>
      <c r="M520" t="s">
        <v>19</v>
      </c>
      <c r="N520">
        <f t="shared" si="16"/>
        <v>12.95</v>
      </c>
      <c r="O520" t="b">
        <f t="shared" si="17"/>
        <v>1</v>
      </c>
    </row>
    <row r="521" spans="1:15">
      <c r="A521" t="s">
        <v>695</v>
      </c>
      <c r="B521" s="2">
        <v>46050</v>
      </c>
      <c r="C521" t="s">
        <v>284</v>
      </c>
      <c r="D521" t="s">
        <v>15</v>
      </c>
      <c r="E521" t="s">
        <v>39</v>
      </c>
      <c r="F521" t="s">
        <v>17</v>
      </c>
      <c r="G521">
        <v>1</v>
      </c>
      <c r="H521" s="3">
        <v>12.95</v>
      </c>
      <c r="I521" s="3">
        <v>12.95</v>
      </c>
      <c r="J521" t="s">
        <v>27</v>
      </c>
      <c r="K521">
        <v>5</v>
      </c>
      <c r="L521">
        <v>17</v>
      </c>
      <c r="M521" t="s">
        <v>19</v>
      </c>
      <c r="N521">
        <f t="shared" si="16"/>
        <v>12.95</v>
      </c>
      <c r="O521" t="b">
        <f t="shared" si="17"/>
        <v>1</v>
      </c>
    </row>
    <row r="522" spans="1:15">
      <c r="A522" t="s">
        <v>696</v>
      </c>
      <c r="B522" s="2">
        <v>46222</v>
      </c>
      <c r="C522" t="s">
        <v>697</v>
      </c>
      <c r="D522" t="s">
        <v>15</v>
      </c>
      <c r="E522" t="s">
        <v>126</v>
      </c>
      <c r="F522" t="s">
        <v>31</v>
      </c>
      <c r="G522">
        <v>1</v>
      </c>
      <c r="H522" s="3">
        <v>7.95</v>
      </c>
      <c r="I522" s="3">
        <v>7.95</v>
      </c>
      <c r="J522" t="s">
        <v>27</v>
      </c>
      <c r="K522">
        <v>1</v>
      </c>
      <c r="L522">
        <v>23</v>
      </c>
      <c r="M522" t="s">
        <v>19</v>
      </c>
      <c r="N522">
        <f t="shared" si="16"/>
        <v>7.95</v>
      </c>
      <c r="O522" t="b">
        <f t="shared" si="17"/>
        <v>1</v>
      </c>
    </row>
    <row r="523" spans="1:15">
      <c r="A523" t="s">
        <v>698</v>
      </c>
      <c r="B523" s="2">
        <v>46205</v>
      </c>
      <c r="C523" t="s">
        <v>541</v>
      </c>
      <c r="D523" t="s">
        <v>35</v>
      </c>
      <c r="E523" t="s">
        <v>96</v>
      </c>
      <c r="F523" t="s">
        <v>47</v>
      </c>
      <c r="G523">
        <v>4</v>
      </c>
      <c r="H523" s="3">
        <v>5.75</v>
      </c>
      <c r="I523" s="3">
        <v>23</v>
      </c>
      <c r="J523" t="s">
        <v>27</v>
      </c>
      <c r="K523">
        <v>30</v>
      </c>
      <c r="L523">
        <v>28</v>
      </c>
      <c r="M523" t="s">
        <v>19</v>
      </c>
      <c r="N523">
        <f t="shared" si="16"/>
        <v>23</v>
      </c>
      <c r="O523" t="b">
        <f t="shared" si="17"/>
        <v>1</v>
      </c>
    </row>
    <row r="524" spans="1:15">
      <c r="A524" t="s">
        <v>699</v>
      </c>
      <c r="B524" s="2">
        <v>46250</v>
      </c>
      <c r="C524" t="s">
        <v>239</v>
      </c>
      <c r="D524" t="s">
        <v>15</v>
      </c>
      <c r="E524" t="s">
        <v>121</v>
      </c>
      <c r="F524" t="s">
        <v>23</v>
      </c>
      <c r="G524">
        <v>2</v>
      </c>
      <c r="H524" s="3">
        <v>6.5</v>
      </c>
      <c r="I524" s="3">
        <v>13</v>
      </c>
      <c r="J524" t="s">
        <v>18</v>
      </c>
      <c r="K524">
        <v>14</v>
      </c>
      <c r="L524">
        <v>8</v>
      </c>
      <c r="M524" t="s">
        <v>19</v>
      </c>
      <c r="N524">
        <f t="shared" si="16"/>
        <v>13</v>
      </c>
      <c r="O524" t="b">
        <f t="shared" si="17"/>
        <v>1</v>
      </c>
    </row>
    <row r="525" spans="1:15">
      <c r="A525" t="s">
        <v>700</v>
      </c>
      <c r="B525" s="2">
        <v>46181</v>
      </c>
      <c r="C525" t="s">
        <v>208</v>
      </c>
      <c r="D525" t="s">
        <v>35</v>
      </c>
      <c r="E525" t="s">
        <v>16</v>
      </c>
      <c r="F525" t="s">
        <v>17</v>
      </c>
      <c r="G525">
        <v>2</v>
      </c>
      <c r="H525" s="3">
        <v>9.9499999999999993</v>
      </c>
      <c r="I525" s="3">
        <v>19.899999999999999</v>
      </c>
      <c r="J525" t="s">
        <v>18</v>
      </c>
      <c r="K525">
        <v>10</v>
      </c>
      <c r="L525">
        <v>7</v>
      </c>
      <c r="M525" t="s">
        <v>19</v>
      </c>
      <c r="N525">
        <f t="shared" si="16"/>
        <v>19.899999999999999</v>
      </c>
      <c r="O525" t="b">
        <f t="shared" si="17"/>
        <v>1</v>
      </c>
    </row>
    <row r="526" spans="1:15">
      <c r="A526" t="s">
        <v>701</v>
      </c>
      <c r="B526" s="2">
        <v>46156</v>
      </c>
      <c r="C526" t="s">
        <v>251</v>
      </c>
      <c r="D526" t="s">
        <v>15</v>
      </c>
      <c r="E526" t="s">
        <v>22</v>
      </c>
      <c r="F526" t="s">
        <v>23</v>
      </c>
      <c r="G526">
        <v>2</v>
      </c>
      <c r="H526" s="3">
        <v>3.1</v>
      </c>
      <c r="I526" s="3">
        <v>6.2</v>
      </c>
      <c r="J526" t="s">
        <v>18</v>
      </c>
      <c r="K526">
        <v>1</v>
      </c>
      <c r="L526">
        <v>5</v>
      </c>
      <c r="M526" t="s">
        <v>19</v>
      </c>
      <c r="N526">
        <f t="shared" si="16"/>
        <v>6.2</v>
      </c>
      <c r="O526" t="b">
        <f t="shared" si="17"/>
        <v>1</v>
      </c>
    </row>
    <row r="527" spans="1:15">
      <c r="A527" t="s">
        <v>702</v>
      </c>
      <c r="B527" s="2">
        <v>46274</v>
      </c>
      <c r="C527" t="s">
        <v>195</v>
      </c>
      <c r="D527" t="s">
        <v>35</v>
      </c>
      <c r="E527" t="s">
        <v>26</v>
      </c>
      <c r="F527" t="s">
        <v>17</v>
      </c>
      <c r="G527">
        <v>2</v>
      </c>
      <c r="H527" s="3">
        <v>11.5</v>
      </c>
      <c r="I527" s="3">
        <v>23</v>
      </c>
      <c r="J527" t="s">
        <v>27</v>
      </c>
      <c r="K527">
        <v>20</v>
      </c>
      <c r="L527">
        <v>25</v>
      </c>
      <c r="M527" t="s">
        <v>19</v>
      </c>
      <c r="N527">
        <f t="shared" si="16"/>
        <v>23</v>
      </c>
      <c r="O527" t="b">
        <f t="shared" si="17"/>
        <v>1</v>
      </c>
    </row>
    <row r="528" spans="1:15">
      <c r="A528" t="s">
        <v>703</v>
      </c>
      <c r="B528" s="2">
        <v>46026</v>
      </c>
      <c r="C528" t="s">
        <v>91</v>
      </c>
      <c r="D528" t="s">
        <v>35</v>
      </c>
      <c r="E528" t="s">
        <v>36</v>
      </c>
      <c r="F528" t="s">
        <v>23</v>
      </c>
      <c r="G528">
        <v>1</v>
      </c>
      <c r="H528" s="3">
        <v>2.8</v>
      </c>
      <c r="I528" s="3">
        <v>2.8</v>
      </c>
      <c r="J528" t="s">
        <v>32</v>
      </c>
      <c r="K528">
        <v>13</v>
      </c>
      <c r="L528">
        <v>18</v>
      </c>
      <c r="M528" t="s">
        <v>19</v>
      </c>
      <c r="N528">
        <f t="shared" si="16"/>
        <v>2.8</v>
      </c>
      <c r="O528" t="b">
        <f t="shared" si="17"/>
        <v>1</v>
      </c>
    </row>
    <row r="529" spans="1:15">
      <c r="A529" t="s">
        <v>704</v>
      </c>
      <c r="B529" s="2">
        <v>46135</v>
      </c>
      <c r="C529" t="s">
        <v>128</v>
      </c>
      <c r="D529" t="s">
        <v>15</v>
      </c>
      <c r="E529" t="s">
        <v>16</v>
      </c>
      <c r="F529" t="s">
        <v>17</v>
      </c>
      <c r="G529">
        <v>1</v>
      </c>
      <c r="H529" s="3">
        <v>9.9499999999999993</v>
      </c>
      <c r="I529" s="3">
        <v>9.9499999999999993</v>
      </c>
      <c r="J529" t="s">
        <v>18</v>
      </c>
      <c r="K529">
        <v>26</v>
      </c>
      <c r="L529">
        <v>24</v>
      </c>
      <c r="M529" t="s">
        <v>19</v>
      </c>
      <c r="N529">
        <f t="shared" si="16"/>
        <v>9.9499999999999993</v>
      </c>
      <c r="O529" t="b">
        <f t="shared" si="17"/>
        <v>1</v>
      </c>
    </row>
    <row r="530" spans="1:15">
      <c r="A530" t="s">
        <v>705</v>
      </c>
      <c r="B530" s="2">
        <v>46162</v>
      </c>
      <c r="C530" t="s">
        <v>25</v>
      </c>
      <c r="D530" t="s">
        <v>15</v>
      </c>
      <c r="E530" t="s">
        <v>78</v>
      </c>
      <c r="F530" t="s">
        <v>47</v>
      </c>
      <c r="G530">
        <v>1</v>
      </c>
      <c r="H530" s="3">
        <v>7.25</v>
      </c>
      <c r="I530" s="3">
        <v>7.25</v>
      </c>
      <c r="J530" t="s">
        <v>18</v>
      </c>
      <c r="K530">
        <v>21</v>
      </c>
      <c r="L530">
        <v>18</v>
      </c>
      <c r="M530" t="s">
        <v>19</v>
      </c>
      <c r="N530">
        <f t="shared" si="16"/>
        <v>7.25</v>
      </c>
      <c r="O530" t="b">
        <f t="shared" si="17"/>
        <v>1</v>
      </c>
    </row>
    <row r="531" spans="1:15">
      <c r="A531" t="s">
        <v>706</v>
      </c>
      <c r="B531" s="2">
        <v>46254</v>
      </c>
      <c r="C531" t="s">
        <v>275</v>
      </c>
      <c r="D531" t="s">
        <v>15</v>
      </c>
      <c r="E531" t="s">
        <v>70</v>
      </c>
      <c r="F531" t="s">
        <v>17</v>
      </c>
      <c r="G531">
        <v>1</v>
      </c>
      <c r="H531" s="3">
        <v>12.5</v>
      </c>
      <c r="I531" s="3">
        <v>12.5</v>
      </c>
      <c r="J531" t="s">
        <v>53</v>
      </c>
      <c r="K531">
        <v>2</v>
      </c>
      <c r="L531">
        <v>20</v>
      </c>
      <c r="M531" t="s">
        <v>19</v>
      </c>
      <c r="N531">
        <f t="shared" si="16"/>
        <v>12.5</v>
      </c>
      <c r="O531" t="b">
        <f t="shared" si="17"/>
        <v>1</v>
      </c>
    </row>
    <row r="532" spans="1:15">
      <c r="A532" t="s">
        <v>707</v>
      </c>
      <c r="B532" s="2">
        <v>46034</v>
      </c>
      <c r="C532" t="s">
        <v>460</v>
      </c>
      <c r="D532" t="s">
        <v>15</v>
      </c>
      <c r="E532" t="s">
        <v>41</v>
      </c>
      <c r="F532" t="s">
        <v>31</v>
      </c>
      <c r="G532">
        <v>1</v>
      </c>
      <c r="H532" s="3">
        <v>5.5</v>
      </c>
      <c r="I532" s="3">
        <v>5.5</v>
      </c>
      <c r="J532" t="s">
        <v>27</v>
      </c>
      <c r="K532">
        <v>5</v>
      </c>
      <c r="L532">
        <v>15</v>
      </c>
      <c r="M532" t="s">
        <v>19</v>
      </c>
      <c r="N532">
        <f t="shared" si="16"/>
        <v>5.5</v>
      </c>
      <c r="O532" t="b">
        <f t="shared" si="17"/>
        <v>1</v>
      </c>
    </row>
    <row r="533" spans="1:15">
      <c r="A533" t="s">
        <v>708</v>
      </c>
      <c r="B533" s="2">
        <v>46134</v>
      </c>
      <c r="C533" t="s">
        <v>425</v>
      </c>
      <c r="D533" t="s">
        <v>15</v>
      </c>
      <c r="E533" t="s">
        <v>30</v>
      </c>
      <c r="F533" t="s">
        <v>31</v>
      </c>
      <c r="G533">
        <v>1</v>
      </c>
      <c r="H533" s="3">
        <v>8.5</v>
      </c>
      <c r="I533" s="3">
        <v>8.5</v>
      </c>
      <c r="J533" t="s">
        <v>27</v>
      </c>
      <c r="K533">
        <v>11</v>
      </c>
      <c r="L533">
        <v>11</v>
      </c>
      <c r="M533" t="s">
        <v>19</v>
      </c>
      <c r="N533">
        <f t="shared" si="16"/>
        <v>8.5</v>
      </c>
      <c r="O533" t="b">
        <f t="shared" si="17"/>
        <v>1</v>
      </c>
    </row>
    <row r="534" spans="1:15">
      <c r="A534" t="s">
        <v>709</v>
      </c>
      <c r="B534" s="2">
        <v>46097</v>
      </c>
      <c r="C534" t="s">
        <v>29</v>
      </c>
      <c r="D534" t="s">
        <v>15</v>
      </c>
      <c r="E534" t="s">
        <v>36</v>
      </c>
      <c r="F534" t="s">
        <v>23</v>
      </c>
      <c r="G534">
        <v>1</v>
      </c>
      <c r="H534" s="3">
        <v>2.8</v>
      </c>
      <c r="I534" s="3">
        <v>2.8</v>
      </c>
      <c r="J534" t="s">
        <v>32</v>
      </c>
      <c r="K534">
        <v>13</v>
      </c>
      <c r="L534">
        <v>12</v>
      </c>
      <c r="M534" t="s">
        <v>19</v>
      </c>
      <c r="N534">
        <f t="shared" si="16"/>
        <v>2.8</v>
      </c>
      <c r="O534" t="b">
        <f t="shared" si="17"/>
        <v>1</v>
      </c>
    </row>
    <row r="535" spans="1:15">
      <c r="A535" t="s">
        <v>710</v>
      </c>
      <c r="B535" s="2">
        <v>46085</v>
      </c>
      <c r="C535" t="s">
        <v>114</v>
      </c>
      <c r="D535" t="s">
        <v>35</v>
      </c>
      <c r="E535" t="s">
        <v>46</v>
      </c>
      <c r="F535" t="s">
        <v>47</v>
      </c>
      <c r="G535">
        <v>2</v>
      </c>
      <c r="H535" s="3">
        <v>6.95</v>
      </c>
      <c r="I535" s="3">
        <v>13.9</v>
      </c>
      <c r="J535" t="s">
        <v>18</v>
      </c>
      <c r="K535">
        <v>8</v>
      </c>
      <c r="L535">
        <v>17</v>
      </c>
      <c r="M535" t="s">
        <v>19</v>
      </c>
      <c r="N535">
        <f t="shared" si="16"/>
        <v>13.9</v>
      </c>
      <c r="O535" t="b">
        <f t="shared" si="17"/>
        <v>1</v>
      </c>
    </row>
    <row r="536" spans="1:15">
      <c r="A536" t="s">
        <v>711</v>
      </c>
      <c r="B536" s="2">
        <v>46040</v>
      </c>
      <c r="C536" t="s">
        <v>178</v>
      </c>
      <c r="D536" t="s">
        <v>15</v>
      </c>
      <c r="E536" t="s">
        <v>70</v>
      </c>
      <c r="F536" t="s">
        <v>17</v>
      </c>
      <c r="G536">
        <v>1</v>
      </c>
      <c r="H536" s="3">
        <v>12.5</v>
      </c>
      <c r="I536" s="3">
        <v>12.5</v>
      </c>
      <c r="J536" t="s">
        <v>18</v>
      </c>
      <c r="K536">
        <v>6</v>
      </c>
      <c r="L536">
        <v>29</v>
      </c>
      <c r="M536" t="s">
        <v>19</v>
      </c>
      <c r="N536">
        <f t="shared" si="16"/>
        <v>12.5</v>
      </c>
      <c r="O536" t="b">
        <f t="shared" si="17"/>
        <v>1</v>
      </c>
    </row>
    <row r="537" spans="1:15">
      <c r="A537" t="s">
        <v>712</v>
      </c>
      <c r="B537" s="2">
        <v>46044</v>
      </c>
      <c r="C537" t="s">
        <v>254</v>
      </c>
      <c r="D537" t="s">
        <v>35</v>
      </c>
      <c r="E537" t="s">
        <v>59</v>
      </c>
      <c r="F537" t="s">
        <v>17</v>
      </c>
      <c r="G537">
        <v>1</v>
      </c>
      <c r="H537" s="3">
        <v>11.95</v>
      </c>
      <c r="I537" s="3">
        <v>11.95</v>
      </c>
      <c r="J537" t="s">
        <v>27</v>
      </c>
      <c r="K537">
        <v>10</v>
      </c>
      <c r="L537">
        <v>16</v>
      </c>
      <c r="M537" t="s">
        <v>19</v>
      </c>
      <c r="N537">
        <f t="shared" si="16"/>
        <v>11.95</v>
      </c>
      <c r="O537" t="b">
        <f t="shared" si="17"/>
        <v>1</v>
      </c>
    </row>
    <row r="538" spans="1:15">
      <c r="A538" t="s">
        <v>713</v>
      </c>
      <c r="B538" s="2">
        <v>46049</v>
      </c>
      <c r="C538" t="s">
        <v>169</v>
      </c>
      <c r="D538" t="s">
        <v>35</v>
      </c>
      <c r="E538" t="s">
        <v>16</v>
      </c>
      <c r="F538" t="s">
        <v>17</v>
      </c>
      <c r="G538">
        <v>2</v>
      </c>
      <c r="H538" s="3">
        <v>9.9499999999999993</v>
      </c>
      <c r="I538" s="3">
        <v>19.899999999999999</v>
      </c>
      <c r="J538" t="s">
        <v>27</v>
      </c>
      <c r="K538">
        <v>19</v>
      </c>
      <c r="L538">
        <v>30</v>
      </c>
      <c r="M538" t="s">
        <v>19</v>
      </c>
      <c r="N538">
        <f t="shared" si="16"/>
        <v>19.899999999999999</v>
      </c>
      <c r="O538" t="b">
        <f t="shared" si="17"/>
        <v>1</v>
      </c>
    </row>
    <row r="539" spans="1:15">
      <c r="A539" t="s">
        <v>714</v>
      </c>
      <c r="B539" s="2">
        <v>46147</v>
      </c>
      <c r="C539" t="s">
        <v>391</v>
      </c>
      <c r="D539" t="s">
        <v>15</v>
      </c>
      <c r="E539" t="s">
        <v>103</v>
      </c>
      <c r="F539" t="s">
        <v>23</v>
      </c>
      <c r="G539">
        <v>2</v>
      </c>
      <c r="H539" s="3">
        <v>3.25</v>
      </c>
      <c r="I539" s="3">
        <v>6.5</v>
      </c>
      <c r="J539" t="s">
        <v>32</v>
      </c>
      <c r="K539">
        <v>12</v>
      </c>
      <c r="L539">
        <v>10</v>
      </c>
      <c r="M539" t="s">
        <v>19</v>
      </c>
      <c r="N539">
        <f t="shared" si="16"/>
        <v>6.5</v>
      </c>
      <c r="O539" t="b">
        <f t="shared" si="17"/>
        <v>1</v>
      </c>
    </row>
    <row r="540" spans="1:15">
      <c r="A540" t="s">
        <v>715</v>
      </c>
      <c r="B540" s="2">
        <v>46150</v>
      </c>
      <c r="C540" t="s">
        <v>154</v>
      </c>
      <c r="D540" t="s">
        <v>15</v>
      </c>
      <c r="E540" t="s">
        <v>56</v>
      </c>
      <c r="F540" t="s">
        <v>23</v>
      </c>
      <c r="G540">
        <v>1</v>
      </c>
      <c r="H540" s="3">
        <v>3.75</v>
      </c>
      <c r="I540" s="3">
        <v>-3.75</v>
      </c>
      <c r="J540" t="s">
        <v>27</v>
      </c>
      <c r="K540">
        <v>21</v>
      </c>
      <c r="L540">
        <v>7</v>
      </c>
      <c r="M540" t="s">
        <v>62</v>
      </c>
      <c r="N540">
        <f t="shared" si="16"/>
        <v>3.75</v>
      </c>
      <c r="O540" t="b">
        <f t="shared" si="17"/>
        <v>1</v>
      </c>
    </row>
    <row r="541" spans="1:15">
      <c r="A541" t="s">
        <v>716</v>
      </c>
      <c r="B541" s="2">
        <v>46077</v>
      </c>
      <c r="C541" t="s">
        <v>175</v>
      </c>
      <c r="D541" t="s">
        <v>15</v>
      </c>
      <c r="E541" t="s">
        <v>36</v>
      </c>
      <c r="F541" t="s">
        <v>23</v>
      </c>
      <c r="G541">
        <v>2</v>
      </c>
      <c r="H541" s="3">
        <v>2.8</v>
      </c>
      <c r="I541" s="3">
        <v>0</v>
      </c>
      <c r="J541" t="s">
        <v>32</v>
      </c>
      <c r="K541">
        <v>12</v>
      </c>
      <c r="L541">
        <v>7</v>
      </c>
      <c r="M541" t="s">
        <v>152</v>
      </c>
      <c r="N541">
        <f t="shared" si="16"/>
        <v>5.6</v>
      </c>
      <c r="O541" t="b">
        <f t="shared" si="17"/>
        <v>1</v>
      </c>
    </row>
    <row r="542" spans="1:15">
      <c r="A542" t="s">
        <v>717</v>
      </c>
      <c r="B542" s="2">
        <v>46247</v>
      </c>
      <c r="C542" t="s">
        <v>314</v>
      </c>
      <c r="D542" t="s">
        <v>35</v>
      </c>
      <c r="E542" t="s">
        <v>46</v>
      </c>
      <c r="F542" t="s">
        <v>47</v>
      </c>
      <c r="G542">
        <v>1</v>
      </c>
      <c r="H542" s="3">
        <v>6.95</v>
      </c>
      <c r="I542" s="3">
        <v>6.95</v>
      </c>
      <c r="J542" t="s">
        <v>18</v>
      </c>
      <c r="K542">
        <v>23</v>
      </c>
      <c r="L542">
        <v>19</v>
      </c>
      <c r="M542" t="s">
        <v>19</v>
      </c>
      <c r="N542">
        <f t="shared" si="16"/>
        <v>6.95</v>
      </c>
      <c r="O542" t="b">
        <f t="shared" si="17"/>
        <v>1</v>
      </c>
    </row>
    <row r="543" spans="1:15">
      <c r="A543" t="s">
        <v>718</v>
      </c>
      <c r="B543" s="2">
        <v>46173</v>
      </c>
      <c r="C543" t="s">
        <v>205</v>
      </c>
      <c r="D543" t="s">
        <v>35</v>
      </c>
      <c r="E543" t="s">
        <v>121</v>
      </c>
      <c r="F543" t="s">
        <v>23</v>
      </c>
      <c r="G543">
        <v>1</v>
      </c>
      <c r="H543" s="3">
        <v>6.5</v>
      </c>
      <c r="I543" s="3">
        <v>6.5</v>
      </c>
      <c r="J543" t="s">
        <v>18</v>
      </c>
      <c r="K543">
        <v>11</v>
      </c>
      <c r="L543">
        <v>14</v>
      </c>
      <c r="M543" t="s">
        <v>19</v>
      </c>
      <c r="N543">
        <f t="shared" si="16"/>
        <v>6.5</v>
      </c>
      <c r="O543" t="b">
        <f t="shared" si="17"/>
        <v>1</v>
      </c>
    </row>
    <row r="544" spans="1:15">
      <c r="A544" t="s">
        <v>719</v>
      </c>
      <c r="B544" s="2">
        <v>46163</v>
      </c>
      <c r="C544" t="s">
        <v>254</v>
      </c>
      <c r="D544" t="s">
        <v>35</v>
      </c>
      <c r="E544" t="s">
        <v>106</v>
      </c>
      <c r="F544" t="s">
        <v>17</v>
      </c>
      <c r="G544">
        <v>1</v>
      </c>
      <c r="H544" s="3">
        <v>15.95</v>
      </c>
      <c r="I544" s="3">
        <v>15.95</v>
      </c>
      <c r="J544" t="s">
        <v>18</v>
      </c>
      <c r="K544">
        <v>18</v>
      </c>
      <c r="L544">
        <v>9</v>
      </c>
      <c r="M544" t="s">
        <v>19</v>
      </c>
      <c r="N544">
        <f t="shared" si="16"/>
        <v>15.95</v>
      </c>
      <c r="O544" t="b">
        <f t="shared" si="17"/>
        <v>1</v>
      </c>
    </row>
    <row r="545" spans="1:15">
      <c r="A545" t="s">
        <v>720</v>
      </c>
      <c r="B545" s="2">
        <v>46023</v>
      </c>
      <c r="C545" t="s">
        <v>145</v>
      </c>
      <c r="D545" t="s">
        <v>35</v>
      </c>
      <c r="E545" t="s">
        <v>106</v>
      </c>
      <c r="F545" t="s">
        <v>17</v>
      </c>
      <c r="G545">
        <v>3</v>
      </c>
      <c r="H545" s="3">
        <v>15.95</v>
      </c>
      <c r="I545" s="3">
        <v>47.85</v>
      </c>
      <c r="J545" t="s">
        <v>18</v>
      </c>
      <c r="K545">
        <v>28</v>
      </c>
      <c r="L545">
        <v>23</v>
      </c>
      <c r="M545" t="s">
        <v>19</v>
      </c>
      <c r="N545">
        <f t="shared" si="16"/>
        <v>47.849999999999994</v>
      </c>
      <c r="O545" t="b">
        <f t="shared" si="17"/>
        <v>1</v>
      </c>
    </row>
    <row r="546" spans="1:15">
      <c r="A546" t="s">
        <v>721</v>
      </c>
      <c r="B546" s="2">
        <v>46145</v>
      </c>
      <c r="C546" t="s">
        <v>154</v>
      </c>
      <c r="D546" t="s">
        <v>15</v>
      </c>
      <c r="E546" t="s">
        <v>36</v>
      </c>
      <c r="F546" t="s">
        <v>23</v>
      </c>
      <c r="G546">
        <v>2</v>
      </c>
      <c r="H546" s="3">
        <v>2.8</v>
      </c>
      <c r="I546" s="3">
        <v>5.6</v>
      </c>
      <c r="J546" t="s">
        <v>27</v>
      </c>
      <c r="K546">
        <v>18</v>
      </c>
      <c r="L546">
        <v>2</v>
      </c>
      <c r="M546" t="s">
        <v>19</v>
      </c>
      <c r="N546">
        <f t="shared" si="16"/>
        <v>5.6</v>
      </c>
      <c r="O546" t="b">
        <f t="shared" si="17"/>
        <v>1</v>
      </c>
    </row>
    <row r="547" spans="1:15">
      <c r="A547" t="s">
        <v>722</v>
      </c>
      <c r="B547" s="2">
        <v>46167</v>
      </c>
      <c r="C547" t="s">
        <v>80</v>
      </c>
      <c r="D547" t="s">
        <v>15</v>
      </c>
      <c r="E547" t="s">
        <v>59</v>
      </c>
      <c r="F547" t="s">
        <v>17</v>
      </c>
      <c r="G547">
        <v>1</v>
      </c>
      <c r="H547" s="3">
        <v>11.95</v>
      </c>
      <c r="I547" s="3">
        <v>11.95</v>
      </c>
      <c r="J547" t="s">
        <v>32</v>
      </c>
      <c r="K547">
        <v>2</v>
      </c>
      <c r="L547">
        <v>14</v>
      </c>
      <c r="M547" t="s">
        <v>19</v>
      </c>
      <c r="N547">
        <f t="shared" si="16"/>
        <v>11.95</v>
      </c>
      <c r="O547" t="b">
        <f t="shared" si="17"/>
        <v>1</v>
      </c>
    </row>
    <row r="548" spans="1:15">
      <c r="A548" t="s">
        <v>723</v>
      </c>
      <c r="B548" s="2">
        <v>46089</v>
      </c>
      <c r="C548" t="s">
        <v>483</v>
      </c>
      <c r="D548" t="s">
        <v>15</v>
      </c>
      <c r="E548" t="s">
        <v>59</v>
      </c>
      <c r="F548" t="s">
        <v>17</v>
      </c>
      <c r="G548">
        <v>1</v>
      </c>
      <c r="H548" s="3">
        <v>11.95</v>
      </c>
      <c r="I548" s="3">
        <v>11.95</v>
      </c>
      <c r="J548" t="s">
        <v>18</v>
      </c>
      <c r="K548">
        <v>13</v>
      </c>
      <c r="L548">
        <v>24</v>
      </c>
      <c r="M548" t="s">
        <v>19</v>
      </c>
      <c r="N548">
        <f t="shared" si="16"/>
        <v>11.95</v>
      </c>
      <c r="O548" t="b">
        <f t="shared" si="17"/>
        <v>1</v>
      </c>
    </row>
    <row r="549" spans="1:15">
      <c r="A549" t="s">
        <v>724</v>
      </c>
      <c r="B549" s="2">
        <v>46292</v>
      </c>
      <c r="C549" t="s">
        <v>189</v>
      </c>
      <c r="D549" t="s">
        <v>35</v>
      </c>
      <c r="E549" t="s">
        <v>83</v>
      </c>
      <c r="F549" t="s">
        <v>17</v>
      </c>
      <c r="G549">
        <v>1</v>
      </c>
      <c r="H549" s="3">
        <v>13.5</v>
      </c>
      <c r="I549" s="3">
        <v>13.5</v>
      </c>
      <c r="J549" t="s">
        <v>27</v>
      </c>
      <c r="K549">
        <v>23</v>
      </c>
      <c r="L549">
        <v>21</v>
      </c>
      <c r="M549" t="s">
        <v>19</v>
      </c>
      <c r="N549">
        <f t="shared" si="16"/>
        <v>13.5</v>
      </c>
      <c r="O549" t="b">
        <f t="shared" si="17"/>
        <v>1</v>
      </c>
    </row>
    <row r="550" spans="1:15">
      <c r="A550" t="s">
        <v>725</v>
      </c>
      <c r="B550" s="2">
        <v>46129</v>
      </c>
      <c r="C550" t="s">
        <v>381</v>
      </c>
      <c r="D550" t="s">
        <v>35</v>
      </c>
      <c r="E550" t="s">
        <v>83</v>
      </c>
      <c r="F550" t="s">
        <v>17</v>
      </c>
      <c r="G550">
        <v>1</v>
      </c>
      <c r="H550" s="3">
        <v>13.5</v>
      </c>
      <c r="I550" s="3">
        <v>0</v>
      </c>
      <c r="J550" t="s">
        <v>32</v>
      </c>
      <c r="K550">
        <v>12</v>
      </c>
      <c r="L550">
        <v>25</v>
      </c>
      <c r="M550" t="s">
        <v>152</v>
      </c>
      <c r="N550">
        <f t="shared" si="16"/>
        <v>13.5</v>
      </c>
      <c r="O550" t="b">
        <f t="shared" si="17"/>
        <v>1</v>
      </c>
    </row>
    <row r="551" spans="1:15">
      <c r="A551" t="s">
        <v>726</v>
      </c>
      <c r="B551" s="2">
        <v>46052</v>
      </c>
      <c r="C551" t="s">
        <v>102</v>
      </c>
      <c r="D551" t="s">
        <v>35</v>
      </c>
      <c r="E551" t="s">
        <v>83</v>
      </c>
      <c r="F551" t="s">
        <v>17</v>
      </c>
      <c r="G551">
        <v>2</v>
      </c>
      <c r="H551" s="3">
        <v>13.5</v>
      </c>
      <c r="I551" s="3">
        <v>27</v>
      </c>
      <c r="J551" t="s">
        <v>53</v>
      </c>
      <c r="K551">
        <v>3</v>
      </c>
      <c r="L551">
        <v>17</v>
      </c>
      <c r="M551" t="s">
        <v>19</v>
      </c>
      <c r="N551">
        <f t="shared" si="16"/>
        <v>27</v>
      </c>
      <c r="O551" t="b">
        <f t="shared" si="17"/>
        <v>1</v>
      </c>
    </row>
    <row r="552" spans="1:15">
      <c r="A552" t="s">
        <v>727</v>
      </c>
      <c r="B552" s="2">
        <v>46288</v>
      </c>
      <c r="C552" t="s">
        <v>108</v>
      </c>
      <c r="D552" t="s">
        <v>15</v>
      </c>
      <c r="E552" t="s">
        <v>46</v>
      </c>
      <c r="F552" t="s">
        <v>47</v>
      </c>
      <c r="G552">
        <v>1</v>
      </c>
      <c r="H552" s="3">
        <v>6.95</v>
      </c>
      <c r="I552" s="3">
        <v>6.95</v>
      </c>
      <c r="J552" t="s">
        <v>18</v>
      </c>
      <c r="K552">
        <v>6</v>
      </c>
      <c r="L552">
        <v>11</v>
      </c>
      <c r="M552" t="s">
        <v>19</v>
      </c>
      <c r="N552">
        <f t="shared" si="16"/>
        <v>6.95</v>
      </c>
      <c r="O552" t="b">
        <f t="shared" si="17"/>
        <v>1</v>
      </c>
    </row>
    <row r="553" spans="1:15">
      <c r="A553" t="s">
        <v>728</v>
      </c>
      <c r="B553" s="2">
        <v>46235</v>
      </c>
      <c r="C553" t="s">
        <v>134</v>
      </c>
      <c r="D553" t="s">
        <v>35</v>
      </c>
      <c r="E553" t="s">
        <v>30</v>
      </c>
      <c r="F553" t="s">
        <v>31</v>
      </c>
      <c r="G553">
        <v>2</v>
      </c>
      <c r="H553" s="3">
        <v>8.5</v>
      </c>
      <c r="I553" s="3">
        <v>17</v>
      </c>
      <c r="J553" t="s">
        <v>18</v>
      </c>
      <c r="K553">
        <v>22</v>
      </c>
      <c r="L553">
        <v>13</v>
      </c>
      <c r="M553" t="s">
        <v>19</v>
      </c>
      <c r="N553">
        <f t="shared" si="16"/>
        <v>17</v>
      </c>
      <c r="O553" t="b">
        <f t="shared" si="17"/>
        <v>1</v>
      </c>
    </row>
    <row r="554" spans="1:15">
      <c r="A554" t="s">
        <v>729</v>
      </c>
      <c r="B554" s="2">
        <v>46076</v>
      </c>
      <c r="C554" t="s">
        <v>108</v>
      </c>
      <c r="D554" t="s">
        <v>15</v>
      </c>
      <c r="E554" t="s">
        <v>46</v>
      </c>
      <c r="F554" t="s">
        <v>47</v>
      </c>
      <c r="G554">
        <v>1</v>
      </c>
      <c r="H554" s="3">
        <v>6.95</v>
      </c>
      <c r="I554" s="3">
        <v>6.95</v>
      </c>
      <c r="J554" t="s">
        <v>53</v>
      </c>
      <c r="K554">
        <v>15</v>
      </c>
      <c r="L554">
        <v>27</v>
      </c>
      <c r="M554" t="s">
        <v>19</v>
      </c>
      <c r="N554">
        <f t="shared" si="16"/>
        <v>6.95</v>
      </c>
      <c r="O554" t="b">
        <f t="shared" si="17"/>
        <v>1</v>
      </c>
    </row>
    <row r="555" spans="1:15">
      <c r="A555" t="s">
        <v>730</v>
      </c>
      <c r="B555" s="2">
        <v>46184</v>
      </c>
      <c r="C555" t="s">
        <v>118</v>
      </c>
      <c r="D555" t="s">
        <v>35</v>
      </c>
      <c r="E555" t="s">
        <v>78</v>
      </c>
      <c r="F555" t="s">
        <v>47</v>
      </c>
      <c r="G555">
        <v>2</v>
      </c>
      <c r="H555" s="3">
        <v>7.25</v>
      </c>
      <c r="I555" s="3">
        <v>14.5</v>
      </c>
      <c r="J555" t="s">
        <v>18</v>
      </c>
      <c r="K555">
        <v>27</v>
      </c>
      <c r="L555">
        <v>38</v>
      </c>
      <c r="M555" t="s">
        <v>19</v>
      </c>
      <c r="N555">
        <f t="shared" si="16"/>
        <v>14.5</v>
      </c>
      <c r="O555" t="b">
        <f t="shared" si="17"/>
        <v>1</v>
      </c>
    </row>
    <row r="556" spans="1:15">
      <c r="A556" t="s">
        <v>731</v>
      </c>
      <c r="B556" s="2">
        <v>46146</v>
      </c>
      <c r="C556" t="s">
        <v>91</v>
      </c>
      <c r="D556" t="s">
        <v>35</v>
      </c>
      <c r="E556" t="s">
        <v>36</v>
      </c>
      <c r="F556" t="s">
        <v>23</v>
      </c>
      <c r="G556">
        <v>3</v>
      </c>
      <c r="H556" s="3">
        <v>2.8</v>
      </c>
      <c r="I556" s="3">
        <v>8.4</v>
      </c>
      <c r="J556" t="s">
        <v>27</v>
      </c>
      <c r="K556">
        <v>13</v>
      </c>
      <c r="L556">
        <v>8</v>
      </c>
      <c r="M556" t="s">
        <v>19</v>
      </c>
      <c r="N556">
        <f t="shared" si="16"/>
        <v>8.3999999999999986</v>
      </c>
      <c r="O556" t="b">
        <f t="shared" si="17"/>
        <v>1</v>
      </c>
    </row>
    <row r="557" spans="1:15">
      <c r="A557" t="s">
        <v>732</v>
      </c>
      <c r="B557" s="2">
        <v>46040</v>
      </c>
      <c r="C557" t="s">
        <v>191</v>
      </c>
      <c r="D557" t="s">
        <v>35</v>
      </c>
      <c r="E557" t="s">
        <v>22</v>
      </c>
      <c r="F557" t="s">
        <v>23</v>
      </c>
      <c r="G557">
        <v>1</v>
      </c>
      <c r="H557" s="3">
        <v>3.1</v>
      </c>
      <c r="I557" s="3">
        <v>3.1</v>
      </c>
      <c r="J557" t="s">
        <v>27</v>
      </c>
      <c r="K557">
        <v>1</v>
      </c>
      <c r="L557">
        <v>18</v>
      </c>
      <c r="M557" t="s">
        <v>19</v>
      </c>
      <c r="N557">
        <f t="shared" si="16"/>
        <v>3.1</v>
      </c>
      <c r="O557" t="b">
        <f t="shared" si="17"/>
        <v>1</v>
      </c>
    </row>
    <row r="558" spans="1:15">
      <c r="A558" t="s">
        <v>733</v>
      </c>
      <c r="B558" s="2">
        <v>46136</v>
      </c>
      <c r="C558" t="s">
        <v>248</v>
      </c>
      <c r="D558" t="s">
        <v>15</v>
      </c>
      <c r="E558" t="s">
        <v>41</v>
      </c>
      <c r="F558" t="s">
        <v>31</v>
      </c>
      <c r="G558">
        <v>3</v>
      </c>
      <c r="H558" s="3">
        <v>5.5</v>
      </c>
      <c r="I558" s="3">
        <v>16.5</v>
      </c>
      <c r="J558" t="s">
        <v>27</v>
      </c>
      <c r="K558">
        <v>5</v>
      </c>
      <c r="L558">
        <v>5</v>
      </c>
      <c r="M558" t="s">
        <v>19</v>
      </c>
      <c r="N558">
        <f t="shared" si="16"/>
        <v>16.5</v>
      </c>
      <c r="O558" t="b">
        <f t="shared" si="17"/>
        <v>1</v>
      </c>
    </row>
    <row r="559" spans="1:15">
      <c r="A559" t="s">
        <v>734</v>
      </c>
      <c r="B559" s="2">
        <v>46258</v>
      </c>
      <c r="C559" t="s">
        <v>38</v>
      </c>
      <c r="D559" t="s">
        <v>15</v>
      </c>
      <c r="E559" t="s">
        <v>30</v>
      </c>
      <c r="F559" t="s">
        <v>31</v>
      </c>
      <c r="G559">
        <v>3</v>
      </c>
      <c r="H559" s="3">
        <v>8.5</v>
      </c>
      <c r="I559" s="3">
        <v>25.5</v>
      </c>
      <c r="J559" t="s">
        <v>27</v>
      </c>
      <c r="K559">
        <v>8</v>
      </c>
      <c r="L559">
        <v>11</v>
      </c>
      <c r="M559" t="s">
        <v>19</v>
      </c>
      <c r="N559">
        <f t="shared" si="16"/>
        <v>25.5</v>
      </c>
      <c r="O559" t="b">
        <f t="shared" si="17"/>
        <v>1</v>
      </c>
    </row>
    <row r="560" spans="1:15">
      <c r="A560" t="s">
        <v>735</v>
      </c>
      <c r="B560" s="2">
        <v>46176</v>
      </c>
      <c r="C560" t="s">
        <v>307</v>
      </c>
      <c r="D560" t="s">
        <v>15</v>
      </c>
      <c r="E560" t="s">
        <v>70</v>
      </c>
      <c r="F560" t="s">
        <v>17</v>
      </c>
      <c r="G560">
        <v>2</v>
      </c>
      <c r="H560" s="3">
        <v>12.5</v>
      </c>
      <c r="I560" s="3">
        <v>25</v>
      </c>
      <c r="J560" t="s">
        <v>32</v>
      </c>
      <c r="K560">
        <v>16</v>
      </c>
      <c r="L560">
        <v>12</v>
      </c>
      <c r="M560" t="s">
        <v>19</v>
      </c>
      <c r="N560">
        <f t="shared" si="16"/>
        <v>25</v>
      </c>
      <c r="O560" t="b">
        <f t="shared" si="17"/>
        <v>1</v>
      </c>
    </row>
    <row r="561" spans="1:15">
      <c r="A561" t="s">
        <v>736</v>
      </c>
      <c r="B561" s="2">
        <v>46071</v>
      </c>
      <c r="C561" t="s">
        <v>263</v>
      </c>
      <c r="D561" t="s">
        <v>35</v>
      </c>
      <c r="E561" t="s">
        <v>121</v>
      </c>
      <c r="F561" t="s">
        <v>23</v>
      </c>
      <c r="G561">
        <v>1</v>
      </c>
      <c r="H561" s="3">
        <v>6.5</v>
      </c>
      <c r="I561" s="3">
        <v>-6.5</v>
      </c>
      <c r="J561" t="s">
        <v>53</v>
      </c>
      <c r="K561">
        <v>2</v>
      </c>
      <c r="L561">
        <v>19</v>
      </c>
      <c r="M561" t="s">
        <v>62</v>
      </c>
      <c r="N561">
        <f t="shared" si="16"/>
        <v>6.5</v>
      </c>
      <c r="O561" t="b">
        <f t="shared" si="17"/>
        <v>1</v>
      </c>
    </row>
    <row r="562" spans="1:15">
      <c r="A562" t="s">
        <v>737</v>
      </c>
      <c r="B562" s="2">
        <v>46194</v>
      </c>
      <c r="C562" t="s">
        <v>398</v>
      </c>
      <c r="D562" t="s">
        <v>15</v>
      </c>
      <c r="E562" t="s">
        <v>59</v>
      </c>
      <c r="F562" t="s">
        <v>17</v>
      </c>
      <c r="G562">
        <v>2</v>
      </c>
      <c r="H562" s="3">
        <v>11.95</v>
      </c>
      <c r="I562" s="3">
        <v>23.9</v>
      </c>
      <c r="J562" t="s">
        <v>27</v>
      </c>
      <c r="K562">
        <v>30</v>
      </c>
      <c r="L562">
        <v>15</v>
      </c>
      <c r="M562" t="s">
        <v>19</v>
      </c>
      <c r="N562">
        <f t="shared" si="16"/>
        <v>23.9</v>
      </c>
      <c r="O562" t="b">
        <f t="shared" si="17"/>
        <v>1</v>
      </c>
    </row>
    <row r="563" spans="1:15">
      <c r="A563" t="s">
        <v>738</v>
      </c>
      <c r="B563" s="2">
        <v>46218</v>
      </c>
      <c r="C563" t="s">
        <v>58</v>
      </c>
      <c r="D563" t="s">
        <v>15</v>
      </c>
      <c r="E563" t="s">
        <v>93</v>
      </c>
      <c r="F563" t="s">
        <v>31</v>
      </c>
      <c r="G563">
        <v>1</v>
      </c>
      <c r="H563" s="3">
        <v>6.25</v>
      </c>
      <c r="I563" s="3">
        <v>6.25</v>
      </c>
      <c r="J563" t="s">
        <v>18</v>
      </c>
      <c r="K563">
        <v>11</v>
      </c>
      <c r="L563">
        <v>5</v>
      </c>
      <c r="M563" t="s">
        <v>19</v>
      </c>
      <c r="N563">
        <f t="shared" si="16"/>
        <v>6.25</v>
      </c>
      <c r="O563" t="b">
        <f t="shared" si="17"/>
        <v>1</v>
      </c>
    </row>
    <row r="564" spans="1:15">
      <c r="A564" t="s">
        <v>739</v>
      </c>
      <c r="B564" s="2">
        <v>46136</v>
      </c>
      <c r="C564" t="s">
        <v>385</v>
      </c>
      <c r="D564" t="s">
        <v>15</v>
      </c>
      <c r="E564" t="s">
        <v>56</v>
      </c>
      <c r="F564" t="s">
        <v>23</v>
      </c>
      <c r="G564">
        <v>1</v>
      </c>
      <c r="H564" s="3">
        <v>3.75</v>
      </c>
      <c r="I564" s="3">
        <v>3.75</v>
      </c>
      <c r="J564" t="s">
        <v>27</v>
      </c>
      <c r="K564">
        <v>13</v>
      </c>
      <c r="L564">
        <v>9</v>
      </c>
      <c r="M564" t="s">
        <v>19</v>
      </c>
      <c r="N564">
        <f t="shared" si="16"/>
        <v>3.75</v>
      </c>
      <c r="O564" t="b">
        <f t="shared" si="17"/>
        <v>1</v>
      </c>
    </row>
    <row r="565" spans="1:15">
      <c r="A565" t="s">
        <v>740</v>
      </c>
      <c r="B565" s="2">
        <v>46195</v>
      </c>
      <c r="C565" t="s">
        <v>320</v>
      </c>
      <c r="D565" t="s">
        <v>15</v>
      </c>
      <c r="E565" t="s">
        <v>83</v>
      </c>
      <c r="F565" t="s">
        <v>17</v>
      </c>
      <c r="G565">
        <v>1</v>
      </c>
      <c r="H565" s="3">
        <v>13.5</v>
      </c>
      <c r="I565" s="3">
        <v>13.5</v>
      </c>
      <c r="J565" t="s">
        <v>18</v>
      </c>
      <c r="K565">
        <v>3</v>
      </c>
      <c r="L565">
        <v>20</v>
      </c>
      <c r="M565" t="s">
        <v>19</v>
      </c>
      <c r="N565">
        <f t="shared" si="16"/>
        <v>13.5</v>
      </c>
      <c r="O565" t="b">
        <f t="shared" si="17"/>
        <v>1</v>
      </c>
    </row>
    <row r="566" spans="1:15">
      <c r="A566" t="s">
        <v>741</v>
      </c>
      <c r="B566" s="2">
        <v>46245</v>
      </c>
      <c r="C566" t="s">
        <v>85</v>
      </c>
      <c r="D566" t="s">
        <v>35</v>
      </c>
      <c r="E566" t="s">
        <v>103</v>
      </c>
      <c r="F566" t="s">
        <v>23</v>
      </c>
      <c r="G566">
        <v>1</v>
      </c>
      <c r="H566" s="3">
        <v>3.25</v>
      </c>
      <c r="I566" s="3">
        <v>3.25</v>
      </c>
      <c r="J566" t="s">
        <v>18</v>
      </c>
      <c r="K566">
        <v>18</v>
      </c>
      <c r="L566">
        <v>6</v>
      </c>
      <c r="M566" t="s">
        <v>19</v>
      </c>
      <c r="N566">
        <f t="shared" si="16"/>
        <v>3.25</v>
      </c>
      <c r="O566" t="b">
        <f t="shared" si="17"/>
        <v>1</v>
      </c>
    </row>
    <row r="567" spans="1:15">
      <c r="A567" t="s">
        <v>742</v>
      </c>
      <c r="B567" s="2">
        <v>46291</v>
      </c>
      <c r="C567" t="s">
        <v>460</v>
      </c>
      <c r="D567" t="s">
        <v>15</v>
      </c>
      <c r="E567" t="s">
        <v>78</v>
      </c>
      <c r="F567" t="s">
        <v>47</v>
      </c>
      <c r="G567">
        <v>1</v>
      </c>
      <c r="H567" s="3">
        <v>7.25</v>
      </c>
      <c r="I567" s="3">
        <v>7.25</v>
      </c>
      <c r="J567" t="s">
        <v>27</v>
      </c>
      <c r="K567">
        <v>3</v>
      </c>
      <c r="L567">
        <v>20</v>
      </c>
      <c r="M567" t="s">
        <v>19</v>
      </c>
      <c r="N567">
        <f t="shared" si="16"/>
        <v>7.25</v>
      </c>
      <c r="O567" t="b">
        <f t="shared" si="17"/>
        <v>1</v>
      </c>
    </row>
    <row r="568" spans="1:15">
      <c r="A568" t="s">
        <v>743</v>
      </c>
      <c r="B568" s="2">
        <v>46234</v>
      </c>
      <c r="C568" t="s">
        <v>228</v>
      </c>
      <c r="D568" t="s">
        <v>35</v>
      </c>
      <c r="E568" t="s">
        <v>93</v>
      </c>
      <c r="F568" t="s">
        <v>31</v>
      </c>
      <c r="G568">
        <v>1</v>
      </c>
      <c r="H568" s="3">
        <v>6.25</v>
      </c>
      <c r="I568" s="3">
        <v>6.25</v>
      </c>
      <c r="J568" t="s">
        <v>18</v>
      </c>
      <c r="K568">
        <v>12</v>
      </c>
      <c r="L568">
        <v>25</v>
      </c>
      <c r="M568" t="s">
        <v>19</v>
      </c>
      <c r="N568">
        <f t="shared" si="16"/>
        <v>6.25</v>
      </c>
      <c r="O568" t="b">
        <f t="shared" si="17"/>
        <v>1</v>
      </c>
    </row>
    <row r="569" spans="1:15">
      <c r="A569" t="s">
        <v>744</v>
      </c>
      <c r="B569" s="2">
        <v>46249</v>
      </c>
      <c r="C569" t="s">
        <v>66</v>
      </c>
      <c r="D569" t="s">
        <v>35</v>
      </c>
      <c r="E569" t="s">
        <v>16</v>
      </c>
      <c r="F569" t="s">
        <v>17</v>
      </c>
      <c r="G569">
        <v>1</v>
      </c>
      <c r="H569" s="3">
        <v>9.9499999999999993</v>
      </c>
      <c r="I569" s="3">
        <v>9.9499999999999993</v>
      </c>
      <c r="J569" t="s">
        <v>32</v>
      </c>
      <c r="K569">
        <v>5</v>
      </c>
      <c r="L569">
        <v>20</v>
      </c>
      <c r="M569" t="s">
        <v>19</v>
      </c>
      <c r="N569">
        <f t="shared" si="16"/>
        <v>9.9499999999999993</v>
      </c>
      <c r="O569" t="b">
        <f t="shared" si="17"/>
        <v>1</v>
      </c>
    </row>
    <row r="570" spans="1:15">
      <c r="A570" t="s">
        <v>745</v>
      </c>
      <c r="B570" s="2">
        <v>46066</v>
      </c>
      <c r="C570" t="s">
        <v>483</v>
      </c>
      <c r="D570" t="s">
        <v>15</v>
      </c>
      <c r="E570" t="s">
        <v>56</v>
      </c>
      <c r="F570" t="s">
        <v>23</v>
      </c>
      <c r="G570">
        <v>3</v>
      </c>
      <c r="H570" s="3">
        <v>3.75</v>
      </c>
      <c r="I570" s="3">
        <v>11.25</v>
      </c>
      <c r="J570" t="s">
        <v>27</v>
      </c>
      <c r="K570">
        <v>4</v>
      </c>
      <c r="L570">
        <v>18</v>
      </c>
      <c r="M570" t="s">
        <v>19</v>
      </c>
      <c r="N570">
        <f t="shared" si="16"/>
        <v>11.25</v>
      </c>
      <c r="O570" t="b">
        <f t="shared" si="17"/>
        <v>1</v>
      </c>
    </row>
    <row r="571" spans="1:15">
      <c r="A571" t="s">
        <v>746</v>
      </c>
      <c r="B571" s="2">
        <v>46264</v>
      </c>
      <c r="C571" t="s">
        <v>697</v>
      </c>
      <c r="D571" t="s">
        <v>15</v>
      </c>
      <c r="E571" t="s">
        <v>36</v>
      </c>
      <c r="F571" t="s">
        <v>23</v>
      </c>
      <c r="G571">
        <v>1</v>
      </c>
      <c r="H571" s="3">
        <v>2.8</v>
      </c>
      <c r="I571" s="3">
        <v>2.8</v>
      </c>
      <c r="J571" t="s">
        <v>32</v>
      </c>
      <c r="K571">
        <v>17</v>
      </c>
      <c r="L571">
        <v>9</v>
      </c>
      <c r="M571" t="s">
        <v>19</v>
      </c>
      <c r="N571">
        <f t="shared" si="16"/>
        <v>2.8</v>
      </c>
      <c r="O571" t="b">
        <f t="shared" si="17"/>
        <v>1</v>
      </c>
    </row>
    <row r="572" spans="1:15">
      <c r="A572" t="s">
        <v>747</v>
      </c>
      <c r="B572" s="2">
        <v>46270</v>
      </c>
      <c r="C572" t="s">
        <v>448</v>
      </c>
      <c r="D572" t="s">
        <v>35</v>
      </c>
      <c r="E572" t="s">
        <v>26</v>
      </c>
      <c r="F572" t="s">
        <v>17</v>
      </c>
      <c r="G572">
        <v>1</v>
      </c>
      <c r="H572" s="3">
        <v>11.5</v>
      </c>
      <c r="I572" s="3">
        <v>11.5</v>
      </c>
      <c r="J572" t="s">
        <v>27</v>
      </c>
      <c r="K572">
        <v>2</v>
      </c>
      <c r="L572">
        <v>15</v>
      </c>
      <c r="M572" t="s">
        <v>19</v>
      </c>
      <c r="N572">
        <f t="shared" si="16"/>
        <v>11.5</v>
      </c>
      <c r="O572" t="b">
        <f t="shared" si="17"/>
        <v>1</v>
      </c>
    </row>
    <row r="573" spans="1:15">
      <c r="A573" t="s">
        <v>748</v>
      </c>
      <c r="B573" s="2">
        <v>46161</v>
      </c>
      <c r="C573" t="s">
        <v>322</v>
      </c>
      <c r="D573" t="s">
        <v>15</v>
      </c>
      <c r="E573" t="s">
        <v>46</v>
      </c>
      <c r="F573" t="s">
        <v>47</v>
      </c>
      <c r="G573">
        <v>2</v>
      </c>
      <c r="H573" s="3">
        <v>6.95</v>
      </c>
      <c r="I573" s="3">
        <v>13.9</v>
      </c>
      <c r="J573" t="s">
        <v>53</v>
      </c>
      <c r="K573">
        <v>28</v>
      </c>
      <c r="L573">
        <v>15</v>
      </c>
      <c r="M573" t="s">
        <v>19</v>
      </c>
      <c r="N573">
        <f t="shared" si="16"/>
        <v>13.9</v>
      </c>
      <c r="O573" t="b">
        <f t="shared" si="17"/>
        <v>1</v>
      </c>
    </row>
    <row r="574" spans="1:15">
      <c r="A574" t="s">
        <v>749</v>
      </c>
      <c r="B574" s="2">
        <v>46207</v>
      </c>
      <c r="C574" t="s">
        <v>431</v>
      </c>
      <c r="D574" t="s">
        <v>35</v>
      </c>
      <c r="E574" t="s">
        <v>46</v>
      </c>
      <c r="F574" t="s">
        <v>47</v>
      </c>
      <c r="G574">
        <v>1</v>
      </c>
      <c r="H574" s="3">
        <v>6.95</v>
      </c>
      <c r="I574" s="3">
        <v>6.95</v>
      </c>
      <c r="J574" t="s">
        <v>27</v>
      </c>
      <c r="K574">
        <v>29</v>
      </c>
      <c r="L574">
        <v>10</v>
      </c>
      <c r="M574" t="s">
        <v>19</v>
      </c>
      <c r="N574">
        <f t="shared" si="16"/>
        <v>6.95</v>
      </c>
      <c r="O574" t="b">
        <f t="shared" si="17"/>
        <v>1</v>
      </c>
    </row>
    <row r="575" spans="1:15">
      <c r="A575" t="s">
        <v>750</v>
      </c>
      <c r="B575" s="2">
        <v>46295</v>
      </c>
      <c r="C575" t="s">
        <v>108</v>
      </c>
      <c r="D575" t="s">
        <v>15</v>
      </c>
      <c r="E575" t="s">
        <v>96</v>
      </c>
      <c r="F575" t="s">
        <v>47</v>
      </c>
      <c r="G575">
        <v>1</v>
      </c>
      <c r="H575" s="3">
        <v>5.75</v>
      </c>
      <c r="I575" s="3">
        <v>5.75</v>
      </c>
      <c r="J575" t="s">
        <v>27</v>
      </c>
      <c r="K575">
        <v>1</v>
      </c>
      <c r="L575">
        <v>15</v>
      </c>
      <c r="M575" t="s">
        <v>19</v>
      </c>
      <c r="N575">
        <f t="shared" si="16"/>
        <v>5.75</v>
      </c>
      <c r="O575" t="b">
        <f t="shared" si="17"/>
        <v>1</v>
      </c>
    </row>
    <row r="576" spans="1:15">
      <c r="A576" t="s">
        <v>751</v>
      </c>
      <c r="B576" s="2">
        <v>46294</v>
      </c>
      <c r="C576" t="s">
        <v>398</v>
      </c>
      <c r="D576" t="s">
        <v>15</v>
      </c>
      <c r="E576" t="s">
        <v>106</v>
      </c>
      <c r="F576" t="s">
        <v>17</v>
      </c>
      <c r="G576">
        <v>1</v>
      </c>
      <c r="H576" s="3">
        <v>15.95</v>
      </c>
      <c r="I576" s="3">
        <v>15.95</v>
      </c>
      <c r="J576" t="s">
        <v>53</v>
      </c>
      <c r="K576">
        <v>8</v>
      </c>
      <c r="L576">
        <v>10</v>
      </c>
      <c r="M576" t="s">
        <v>19</v>
      </c>
      <c r="N576">
        <f t="shared" si="16"/>
        <v>15.95</v>
      </c>
      <c r="O576" t="b">
        <f t="shared" si="17"/>
        <v>1</v>
      </c>
    </row>
    <row r="577" spans="1:15">
      <c r="A577" t="s">
        <v>752</v>
      </c>
      <c r="B577" s="2">
        <v>46279</v>
      </c>
      <c r="C577" t="s">
        <v>154</v>
      </c>
      <c r="D577" t="s">
        <v>15</v>
      </c>
      <c r="E577" t="s">
        <v>41</v>
      </c>
      <c r="F577" t="s">
        <v>31</v>
      </c>
      <c r="G577">
        <v>2</v>
      </c>
      <c r="H577" s="3">
        <v>5.5</v>
      </c>
      <c r="I577" s="3">
        <v>11</v>
      </c>
      <c r="J577" t="s">
        <v>53</v>
      </c>
      <c r="K577">
        <v>18</v>
      </c>
      <c r="L577">
        <v>22</v>
      </c>
      <c r="M577" t="s">
        <v>19</v>
      </c>
      <c r="N577">
        <f t="shared" si="16"/>
        <v>11</v>
      </c>
      <c r="O577" t="b">
        <f t="shared" si="17"/>
        <v>1</v>
      </c>
    </row>
    <row r="578" spans="1:15">
      <c r="A578" t="s">
        <v>753</v>
      </c>
      <c r="B578" s="2">
        <v>46138</v>
      </c>
      <c r="C578" t="s">
        <v>128</v>
      </c>
      <c r="D578" t="s">
        <v>15</v>
      </c>
      <c r="E578" t="s">
        <v>50</v>
      </c>
      <c r="F578" t="s">
        <v>17</v>
      </c>
      <c r="G578">
        <v>1</v>
      </c>
      <c r="H578" s="3">
        <v>14.5</v>
      </c>
      <c r="I578" s="3">
        <v>14.5</v>
      </c>
      <c r="J578" t="s">
        <v>18</v>
      </c>
      <c r="K578">
        <v>28</v>
      </c>
      <c r="L578">
        <v>7</v>
      </c>
      <c r="M578" t="s">
        <v>19</v>
      </c>
      <c r="N578">
        <f t="shared" ref="N578:N641" si="18">G578*H578</f>
        <v>14.5</v>
      </c>
      <c r="O578" t="b">
        <f t="shared" ref="O578:O641" si="19">OR(AND(M578="Completed",I578=N578),AND(M578="Refunded",ABS(I578)=N578),AND(M578="Cancelled",I578=0))</f>
        <v>1</v>
      </c>
    </row>
    <row r="579" spans="1:15">
      <c r="A579" t="s">
        <v>754</v>
      </c>
      <c r="B579" s="2">
        <v>46139</v>
      </c>
      <c r="C579" t="s">
        <v>89</v>
      </c>
      <c r="D579" t="s">
        <v>35</v>
      </c>
      <c r="E579" t="s">
        <v>78</v>
      </c>
      <c r="F579" t="s">
        <v>47</v>
      </c>
      <c r="G579">
        <v>4</v>
      </c>
      <c r="H579" s="3">
        <v>7.25</v>
      </c>
      <c r="I579" s="3">
        <v>29</v>
      </c>
      <c r="J579" t="s">
        <v>18</v>
      </c>
      <c r="K579">
        <v>11</v>
      </c>
      <c r="L579">
        <v>18</v>
      </c>
      <c r="M579" t="s">
        <v>19</v>
      </c>
      <c r="N579">
        <f t="shared" si="18"/>
        <v>29</v>
      </c>
      <c r="O579" t="b">
        <f t="shared" si="19"/>
        <v>1</v>
      </c>
    </row>
    <row r="580" spans="1:15">
      <c r="A580" t="s">
        <v>755</v>
      </c>
      <c r="B580" s="2">
        <v>46090</v>
      </c>
      <c r="C580" t="s">
        <v>421</v>
      </c>
      <c r="D580" t="s">
        <v>15</v>
      </c>
      <c r="E580" t="s">
        <v>36</v>
      </c>
      <c r="F580" t="s">
        <v>23</v>
      </c>
      <c r="G580">
        <v>2</v>
      </c>
      <c r="H580" s="3">
        <v>2.8</v>
      </c>
      <c r="I580" s="3">
        <v>5.6</v>
      </c>
      <c r="J580" t="s">
        <v>53</v>
      </c>
      <c r="K580">
        <v>23</v>
      </c>
      <c r="L580">
        <v>12</v>
      </c>
      <c r="M580" t="s">
        <v>19</v>
      </c>
      <c r="N580">
        <f t="shared" si="18"/>
        <v>5.6</v>
      </c>
      <c r="O580" t="b">
        <f t="shared" si="19"/>
        <v>1</v>
      </c>
    </row>
    <row r="581" spans="1:15">
      <c r="A581" t="s">
        <v>756</v>
      </c>
      <c r="B581" s="2">
        <v>46092</v>
      </c>
      <c r="C581" t="s">
        <v>110</v>
      </c>
      <c r="D581" t="s">
        <v>35</v>
      </c>
      <c r="E581" t="s">
        <v>121</v>
      </c>
      <c r="F581" t="s">
        <v>23</v>
      </c>
      <c r="G581">
        <v>3</v>
      </c>
      <c r="H581" s="3">
        <v>6.5</v>
      </c>
      <c r="I581" s="3">
        <v>19.5</v>
      </c>
      <c r="J581" t="s">
        <v>18</v>
      </c>
      <c r="K581">
        <v>3</v>
      </c>
      <c r="L581">
        <v>9</v>
      </c>
      <c r="M581" t="s">
        <v>19</v>
      </c>
      <c r="N581">
        <f t="shared" si="18"/>
        <v>19.5</v>
      </c>
      <c r="O581" t="b">
        <f t="shared" si="19"/>
        <v>1</v>
      </c>
    </row>
    <row r="582" spans="1:15">
      <c r="A582" t="s">
        <v>757</v>
      </c>
      <c r="B582" s="2">
        <v>46083</v>
      </c>
      <c r="C582" t="s">
        <v>697</v>
      </c>
      <c r="D582" t="s">
        <v>15</v>
      </c>
      <c r="E582" t="s">
        <v>26</v>
      </c>
      <c r="F582" t="s">
        <v>17</v>
      </c>
      <c r="G582">
        <v>2</v>
      </c>
      <c r="H582" s="3">
        <v>11.5</v>
      </c>
      <c r="I582" s="3">
        <v>23</v>
      </c>
      <c r="J582" t="s">
        <v>53</v>
      </c>
      <c r="K582">
        <v>24</v>
      </c>
      <c r="L582">
        <v>20</v>
      </c>
      <c r="M582" t="s">
        <v>19</v>
      </c>
      <c r="N582">
        <f t="shared" si="18"/>
        <v>23</v>
      </c>
      <c r="O582" t="b">
        <f t="shared" si="19"/>
        <v>1</v>
      </c>
    </row>
    <row r="583" spans="1:15">
      <c r="A583" t="s">
        <v>758</v>
      </c>
      <c r="B583" s="2">
        <v>46163</v>
      </c>
      <c r="C583" t="s">
        <v>160</v>
      </c>
      <c r="D583" t="s">
        <v>15</v>
      </c>
      <c r="E583" t="s">
        <v>50</v>
      </c>
      <c r="F583" t="s">
        <v>17</v>
      </c>
      <c r="G583">
        <v>1</v>
      </c>
      <c r="H583" s="3">
        <v>14.5</v>
      </c>
      <c r="I583" s="3">
        <v>-14.5</v>
      </c>
      <c r="J583" t="s">
        <v>18</v>
      </c>
      <c r="K583">
        <v>20</v>
      </c>
      <c r="L583">
        <v>14</v>
      </c>
      <c r="M583" t="s">
        <v>62</v>
      </c>
      <c r="N583">
        <f t="shared" si="18"/>
        <v>14.5</v>
      </c>
      <c r="O583" t="b">
        <f t="shared" si="19"/>
        <v>1</v>
      </c>
    </row>
    <row r="584" spans="1:15">
      <c r="A584" t="s">
        <v>759</v>
      </c>
      <c r="B584" s="2">
        <v>46141</v>
      </c>
      <c r="C584" t="s">
        <v>110</v>
      </c>
      <c r="D584" t="s">
        <v>35</v>
      </c>
      <c r="E584" t="s">
        <v>26</v>
      </c>
      <c r="F584" t="s">
        <v>17</v>
      </c>
      <c r="G584">
        <v>1</v>
      </c>
      <c r="H584" s="3">
        <v>11.5</v>
      </c>
      <c r="I584" s="3">
        <v>11.5</v>
      </c>
      <c r="J584" t="s">
        <v>18</v>
      </c>
      <c r="K584">
        <v>28</v>
      </c>
      <c r="L584">
        <v>20</v>
      </c>
      <c r="M584" t="s">
        <v>19</v>
      </c>
      <c r="N584">
        <f t="shared" si="18"/>
        <v>11.5</v>
      </c>
      <c r="O584" t="b">
        <f t="shared" si="19"/>
        <v>1</v>
      </c>
    </row>
    <row r="585" spans="1:15">
      <c r="A585" t="s">
        <v>760</v>
      </c>
      <c r="B585" s="2">
        <v>46214</v>
      </c>
      <c r="C585" t="s">
        <v>385</v>
      </c>
      <c r="D585" t="s">
        <v>15</v>
      </c>
      <c r="E585" t="s">
        <v>103</v>
      </c>
      <c r="F585" t="s">
        <v>23</v>
      </c>
      <c r="G585">
        <v>1</v>
      </c>
      <c r="H585" s="3">
        <v>3.25</v>
      </c>
      <c r="I585" s="3">
        <v>3.25</v>
      </c>
      <c r="J585" t="s">
        <v>27</v>
      </c>
      <c r="K585">
        <v>8</v>
      </c>
      <c r="L585">
        <v>5</v>
      </c>
      <c r="M585" t="s">
        <v>19</v>
      </c>
      <c r="N585">
        <f t="shared" si="18"/>
        <v>3.25</v>
      </c>
      <c r="O585" t="b">
        <f t="shared" si="19"/>
        <v>1</v>
      </c>
    </row>
    <row r="586" spans="1:15">
      <c r="A586" t="s">
        <v>761</v>
      </c>
      <c r="B586" s="2">
        <v>46030</v>
      </c>
      <c r="C586" t="s">
        <v>205</v>
      </c>
      <c r="D586" t="s">
        <v>35</v>
      </c>
      <c r="E586" t="s">
        <v>70</v>
      </c>
      <c r="F586" t="s">
        <v>17</v>
      </c>
      <c r="G586">
        <v>2</v>
      </c>
      <c r="H586" s="3">
        <v>12.5</v>
      </c>
      <c r="I586" s="3">
        <v>25</v>
      </c>
      <c r="J586" t="s">
        <v>53</v>
      </c>
      <c r="K586">
        <v>15</v>
      </c>
      <c r="L586">
        <v>26</v>
      </c>
      <c r="M586" t="s">
        <v>19</v>
      </c>
      <c r="N586">
        <f t="shared" si="18"/>
        <v>25</v>
      </c>
      <c r="O586" t="b">
        <f t="shared" si="19"/>
        <v>1</v>
      </c>
    </row>
    <row r="587" spans="1:15">
      <c r="A587" t="s">
        <v>762</v>
      </c>
      <c r="B587" s="2">
        <v>46273</v>
      </c>
      <c r="C587" t="s">
        <v>205</v>
      </c>
      <c r="D587" t="s">
        <v>35</v>
      </c>
      <c r="E587" t="s">
        <v>78</v>
      </c>
      <c r="F587" t="s">
        <v>47</v>
      </c>
      <c r="G587">
        <v>1</v>
      </c>
      <c r="H587" s="3">
        <v>7.25</v>
      </c>
      <c r="I587" s="3">
        <v>7.25</v>
      </c>
      <c r="J587" t="s">
        <v>18</v>
      </c>
      <c r="K587">
        <v>20</v>
      </c>
      <c r="L587">
        <v>33</v>
      </c>
      <c r="M587" t="s">
        <v>19</v>
      </c>
      <c r="N587">
        <f t="shared" si="18"/>
        <v>7.25</v>
      </c>
      <c r="O587" t="b">
        <f t="shared" si="19"/>
        <v>1</v>
      </c>
    </row>
    <row r="588" spans="1:15">
      <c r="A588" t="s">
        <v>763</v>
      </c>
      <c r="B588" s="2">
        <v>46217</v>
      </c>
      <c r="C588" t="s">
        <v>52</v>
      </c>
      <c r="D588" t="s">
        <v>35</v>
      </c>
      <c r="E588" t="s">
        <v>121</v>
      </c>
      <c r="F588" t="s">
        <v>23</v>
      </c>
      <c r="G588">
        <v>2</v>
      </c>
      <c r="H588" s="3">
        <v>6.5</v>
      </c>
      <c r="I588" s="3">
        <v>13</v>
      </c>
      <c r="J588" t="s">
        <v>18</v>
      </c>
      <c r="K588">
        <v>2</v>
      </c>
      <c r="L588">
        <v>7</v>
      </c>
      <c r="M588" t="s">
        <v>19</v>
      </c>
      <c r="N588">
        <f t="shared" si="18"/>
        <v>13</v>
      </c>
      <c r="O588" t="b">
        <f t="shared" si="19"/>
        <v>1</v>
      </c>
    </row>
    <row r="589" spans="1:15">
      <c r="A589" t="s">
        <v>764</v>
      </c>
      <c r="B589" s="2">
        <v>46254</v>
      </c>
      <c r="C589" t="s">
        <v>73</v>
      </c>
      <c r="D589" t="s">
        <v>35</v>
      </c>
      <c r="E589" t="s">
        <v>22</v>
      </c>
      <c r="F589" t="s">
        <v>23</v>
      </c>
      <c r="G589">
        <v>1</v>
      </c>
      <c r="H589" s="3">
        <v>3.1</v>
      </c>
      <c r="I589" s="3">
        <v>0</v>
      </c>
      <c r="J589" t="s">
        <v>18</v>
      </c>
      <c r="K589">
        <v>2</v>
      </c>
      <c r="L589">
        <v>5</v>
      </c>
      <c r="M589" t="s">
        <v>152</v>
      </c>
      <c r="N589">
        <f t="shared" si="18"/>
        <v>3.1</v>
      </c>
      <c r="O589" t="b">
        <f t="shared" si="19"/>
        <v>1</v>
      </c>
    </row>
    <row r="590" spans="1:15">
      <c r="A590" t="s">
        <v>765</v>
      </c>
      <c r="B590" s="2">
        <v>46287</v>
      </c>
      <c r="C590" t="s">
        <v>73</v>
      </c>
      <c r="D590" t="s">
        <v>35</v>
      </c>
      <c r="E590" t="s">
        <v>126</v>
      </c>
      <c r="F590" t="s">
        <v>31</v>
      </c>
      <c r="G590">
        <v>1</v>
      </c>
      <c r="H590" s="3">
        <v>7.95</v>
      </c>
      <c r="I590" s="3">
        <v>7.95</v>
      </c>
      <c r="J590" t="s">
        <v>18</v>
      </c>
      <c r="K590">
        <v>6</v>
      </c>
      <c r="L590">
        <v>20</v>
      </c>
      <c r="M590" t="s">
        <v>19</v>
      </c>
      <c r="N590">
        <f t="shared" si="18"/>
        <v>7.95</v>
      </c>
      <c r="O590" t="b">
        <f t="shared" si="19"/>
        <v>1</v>
      </c>
    </row>
    <row r="591" spans="1:15">
      <c r="A591" t="s">
        <v>766</v>
      </c>
      <c r="B591" s="2">
        <v>46050</v>
      </c>
      <c r="C591" t="s">
        <v>167</v>
      </c>
      <c r="D591" t="s">
        <v>35</v>
      </c>
      <c r="E591" t="s">
        <v>96</v>
      </c>
      <c r="F591" t="s">
        <v>47</v>
      </c>
      <c r="G591">
        <v>1</v>
      </c>
      <c r="H591" s="3">
        <v>5.75</v>
      </c>
      <c r="I591" s="3">
        <v>5.75</v>
      </c>
      <c r="J591" t="s">
        <v>27</v>
      </c>
      <c r="K591">
        <v>4</v>
      </c>
      <c r="L591">
        <v>15</v>
      </c>
      <c r="M591" t="s">
        <v>19</v>
      </c>
      <c r="N591">
        <f t="shared" si="18"/>
        <v>5.75</v>
      </c>
      <c r="O591" t="b">
        <f t="shared" si="19"/>
        <v>1</v>
      </c>
    </row>
    <row r="592" spans="1:15">
      <c r="A592" t="s">
        <v>767</v>
      </c>
      <c r="B592" s="2">
        <v>46092</v>
      </c>
      <c r="C592" t="s">
        <v>541</v>
      </c>
      <c r="D592" t="s">
        <v>35</v>
      </c>
      <c r="E592" t="s">
        <v>26</v>
      </c>
      <c r="F592" t="s">
        <v>17</v>
      </c>
      <c r="G592">
        <v>1</v>
      </c>
      <c r="H592" s="3">
        <v>11.5</v>
      </c>
      <c r="I592" s="3">
        <v>11.5</v>
      </c>
      <c r="J592" t="s">
        <v>18</v>
      </c>
      <c r="K592">
        <v>29</v>
      </c>
      <c r="L592">
        <v>30</v>
      </c>
      <c r="M592" t="s">
        <v>19</v>
      </c>
      <c r="N592">
        <f t="shared" si="18"/>
        <v>11.5</v>
      </c>
      <c r="O592" t="b">
        <f t="shared" si="19"/>
        <v>1</v>
      </c>
    </row>
    <row r="593" spans="1:15">
      <c r="A593" t="s">
        <v>768</v>
      </c>
      <c r="B593" s="2">
        <v>46151</v>
      </c>
      <c r="C593" t="s">
        <v>697</v>
      </c>
      <c r="D593" t="s">
        <v>15</v>
      </c>
      <c r="E593" t="s">
        <v>59</v>
      </c>
      <c r="F593" t="s">
        <v>17</v>
      </c>
      <c r="G593">
        <v>1</v>
      </c>
      <c r="H593" s="3">
        <v>11.95</v>
      </c>
      <c r="I593" s="3">
        <v>11.95</v>
      </c>
      <c r="J593" t="s">
        <v>18</v>
      </c>
      <c r="K593">
        <v>15</v>
      </c>
      <c r="L593">
        <v>8</v>
      </c>
      <c r="M593" t="s">
        <v>19</v>
      </c>
      <c r="N593">
        <f t="shared" si="18"/>
        <v>11.95</v>
      </c>
      <c r="O593" t="b">
        <f t="shared" si="19"/>
        <v>1</v>
      </c>
    </row>
    <row r="594" spans="1:15">
      <c r="A594" t="s">
        <v>769</v>
      </c>
      <c r="B594" s="2">
        <v>46066</v>
      </c>
      <c r="C594" t="s">
        <v>506</v>
      </c>
      <c r="D594" t="s">
        <v>35</v>
      </c>
      <c r="E594" t="s">
        <v>22</v>
      </c>
      <c r="F594" t="s">
        <v>23</v>
      </c>
      <c r="G594">
        <v>2</v>
      </c>
      <c r="H594" s="3">
        <v>3.1</v>
      </c>
      <c r="I594" s="3">
        <v>6.2</v>
      </c>
      <c r="J594" t="s">
        <v>27</v>
      </c>
      <c r="K594">
        <v>25</v>
      </c>
      <c r="L594">
        <v>8</v>
      </c>
      <c r="M594" t="s">
        <v>19</v>
      </c>
      <c r="N594">
        <f t="shared" si="18"/>
        <v>6.2</v>
      </c>
      <c r="O594" t="b">
        <f t="shared" si="19"/>
        <v>1</v>
      </c>
    </row>
    <row r="595" spans="1:15">
      <c r="A595" t="s">
        <v>770</v>
      </c>
      <c r="B595" s="2">
        <v>46194</v>
      </c>
      <c r="C595" t="s">
        <v>112</v>
      </c>
      <c r="D595" t="s">
        <v>35</v>
      </c>
      <c r="E595" t="s">
        <v>106</v>
      </c>
      <c r="F595" t="s">
        <v>17</v>
      </c>
      <c r="G595">
        <v>2</v>
      </c>
      <c r="H595" s="3">
        <v>15.95</v>
      </c>
      <c r="I595" s="3">
        <v>31.9</v>
      </c>
      <c r="J595" t="s">
        <v>18</v>
      </c>
      <c r="K595">
        <v>25</v>
      </c>
      <c r="L595">
        <v>24</v>
      </c>
      <c r="M595" t="s">
        <v>19</v>
      </c>
      <c r="N595">
        <f t="shared" si="18"/>
        <v>31.9</v>
      </c>
      <c r="O595" t="b">
        <f t="shared" si="19"/>
        <v>1</v>
      </c>
    </row>
    <row r="596" spans="1:15">
      <c r="A596" t="s">
        <v>771</v>
      </c>
      <c r="B596" s="2">
        <v>46237</v>
      </c>
      <c r="C596" t="s">
        <v>43</v>
      </c>
      <c r="D596" t="s">
        <v>15</v>
      </c>
      <c r="E596" t="s">
        <v>106</v>
      </c>
      <c r="F596" t="s">
        <v>17</v>
      </c>
      <c r="G596">
        <v>1</v>
      </c>
      <c r="H596" s="3">
        <v>15.95</v>
      </c>
      <c r="I596" s="3">
        <v>15.95</v>
      </c>
      <c r="J596" t="s">
        <v>27</v>
      </c>
      <c r="K596">
        <v>25</v>
      </c>
      <c r="L596">
        <v>16</v>
      </c>
      <c r="M596" t="s">
        <v>19</v>
      </c>
      <c r="N596">
        <f t="shared" si="18"/>
        <v>15.95</v>
      </c>
      <c r="O596" t="b">
        <f t="shared" si="19"/>
        <v>1</v>
      </c>
    </row>
    <row r="597" spans="1:15">
      <c r="A597" t="s">
        <v>772</v>
      </c>
      <c r="B597" s="2">
        <v>46257</v>
      </c>
      <c r="C597" t="s">
        <v>208</v>
      </c>
      <c r="D597" t="s">
        <v>35</v>
      </c>
      <c r="E597" t="s">
        <v>26</v>
      </c>
      <c r="F597" t="s">
        <v>17</v>
      </c>
      <c r="G597">
        <v>2</v>
      </c>
      <c r="H597" s="3">
        <v>11.5</v>
      </c>
      <c r="I597" s="3">
        <v>23</v>
      </c>
      <c r="J597" t="s">
        <v>27</v>
      </c>
      <c r="K597">
        <v>8</v>
      </c>
      <c r="L597">
        <v>19</v>
      </c>
      <c r="M597" t="s">
        <v>19</v>
      </c>
      <c r="N597">
        <f t="shared" si="18"/>
        <v>23</v>
      </c>
      <c r="O597" t="b">
        <f t="shared" si="19"/>
        <v>1</v>
      </c>
    </row>
    <row r="598" spans="1:15">
      <c r="A598" t="s">
        <v>773</v>
      </c>
      <c r="B598" s="2">
        <v>46266</v>
      </c>
      <c r="C598" t="s">
        <v>34</v>
      </c>
      <c r="D598" t="s">
        <v>35</v>
      </c>
      <c r="E598" t="s">
        <v>56</v>
      </c>
      <c r="F598" t="s">
        <v>23</v>
      </c>
      <c r="G598">
        <v>2</v>
      </c>
      <c r="H598" s="3">
        <v>3.75</v>
      </c>
      <c r="I598" s="3">
        <v>7.5</v>
      </c>
      <c r="J598" t="s">
        <v>18</v>
      </c>
      <c r="K598">
        <v>21</v>
      </c>
      <c r="L598">
        <v>16</v>
      </c>
      <c r="M598" t="s">
        <v>19</v>
      </c>
      <c r="N598">
        <f t="shared" si="18"/>
        <v>7.5</v>
      </c>
      <c r="O598" t="b">
        <f t="shared" si="19"/>
        <v>1</v>
      </c>
    </row>
    <row r="599" spans="1:15">
      <c r="A599" t="s">
        <v>774</v>
      </c>
      <c r="B599" s="2">
        <v>46129</v>
      </c>
      <c r="C599" t="s">
        <v>355</v>
      </c>
      <c r="D599" t="s">
        <v>15</v>
      </c>
      <c r="E599" t="s">
        <v>30</v>
      </c>
      <c r="F599" t="s">
        <v>31</v>
      </c>
      <c r="G599">
        <v>1</v>
      </c>
      <c r="H599" s="3">
        <v>8.5</v>
      </c>
      <c r="I599" s="3">
        <v>8.5</v>
      </c>
      <c r="J599" t="s">
        <v>18</v>
      </c>
      <c r="K599">
        <v>22</v>
      </c>
      <c r="L599">
        <v>12</v>
      </c>
      <c r="M599" t="s">
        <v>19</v>
      </c>
      <c r="N599">
        <f t="shared" si="18"/>
        <v>8.5</v>
      </c>
      <c r="O599" t="b">
        <f t="shared" si="19"/>
        <v>1</v>
      </c>
    </row>
    <row r="600" spans="1:15">
      <c r="A600" t="s">
        <v>775</v>
      </c>
      <c r="B600" s="2">
        <v>46175</v>
      </c>
      <c r="C600" t="s">
        <v>251</v>
      </c>
      <c r="D600" t="s">
        <v>15</v>
      </c>
      <c r="E600" t="s">
        <v>59</v>
      </c>
      <c r="F600" t="s">
        <v>17</v>
      </c>
      <c r="G600">
        <v>1</v>
      </c>
      <c r="H600" s="3">
        <v>11.95</v>
      </c>
      <c r="I600" s="3">
        <v>11.95</v>
      </c>
      <c r="J600" t="s">
        <v>18</v>
      </c>
      <c r="K600">
        <v>22</v>
      </c>
      <c r="L600">
        <v>18</v>
      </c>
      <c r="M600" t="s">
        <v>19</v>
      </c>
      <c r="N600">
        <f t="shared" si="18"/>
        <v>11.95</v>
      </c>
      <c r="O600" t="b">
        <f t="shared" si="19"/>
        <v>1</v>
      </c>
    </row>
    <row r="601" spans="1:15">
      <c r="A601" t="s">
        <v>776</v>
      </c>
      <c r="B601" s="2">
        <v>46113</v>
      </c>
      <c r="C601" t="s">
        <v>134</v>
      </c>
      <c r="D601" t="s">
        <v>35</v>
      </c>
      <c r="E601" t="s">
        <v>30</v>
      </c>
      <c r="F601" t="s">
        <v>31</v>
      </c>
      <c r="G601">
        <v>3</v>
      </c>
      <c r="H601" s="3">
        <v>8.5</v>
      </c>
      <c r="I601" s="3">
        <v>25.5</v>
      </c>
      <c r="J601" t="s">
        <v>27</v>
      </c>
      <c r="K601">
        <v>25</v>
      </c>
      <c r="L601">
        <v>24</v>
      </c>
      <c r="M601" t="s">
        <v>19</v>
      </c>
      <c r="N601">
        <f t="shared" si="18"/>
        <v>25.5</v>
      </c>
      <c r="O601" t="b">
        <f t="shared" si="19"/>
        <v>1</v>
      </c>
    </row>
    <row r="602" spans="1:15">
      <c r="A602" t="s">
        <v>777</v>
      </c>
      <c r="B602" s="2">
        <v>46211</v>
      </c>
      <c r="C602" t="s">
        <v>297</v>
      </c>
      <c r="D602" t="s">
        <v>35</v>
      </c>
      <c r="E602" t="s">
        <v>36</v>
      </c>
      <c r="F602" t="s">
        <v>23</v>
      </c>
      <c r="G602">
        <v>1</v>
      </c>
      <c r="H602" s="3">
        <v>2.8</v>
      </c>
      <c r="I602" s="3">
        <v>2.8</v>
      </c>
      <c r="J602" t="s">
        <v>27</v>
      </c>
      <c r="K602">
        <v>9</v>
      </c>
      <c r="L602">
        <v>19</v>
      </c>
      <c r="M602" t="s">
        <v>19</v>
      </c>
      <c r="N602">
        <f t="shared" si="18"/>
        <v>2.8</v>
      </c>
      <c r="O602" t="b">
        <f t="shared" si="19"/>
        <v>1</v>
      </c>
    </row>
    <row r="603" spans="1:15">
      <c r="A603" t="s">
        <v>778</v>
      </c>
      <c r="B603" s="2">
        <v>46234</v>
      </c>
      <c r="C603" t="s">
        <v>114</v>
      </c>
      <c r="D603" t="s">
        <v>35</v>
      </c>
      <c r="E603" t="s">
        <v>56</v>
      </c>
      <c r="F603" t="s">
        <v>23</v>
      </c>
      <c r="G603">
        <v>1</v>
      </c>
      <c r="H603" s="3">
        <v>3.75</v>
      </c>
      <c r="I603" s="3">
        <v>3.75</v>
      </c>
      <c r="J603" t="s">
        <v>53</v>
      </c>
      <c r="K603">
        <v>24</v>
      </c>
      <c r="L603">
        <v>19</v>
      </c>
      <c r="M603" t="s">
        <v>19</v>
      </c>
      <c r="N603">
        <f t="shared" si="18"/>
        <v>3.75</v>
      </c>
      <c r="O603" t="b">
        <f t="shared" si="19"/>
        <v>1</v>
      </c>
    </row>
    <row r="604" spans="1:15">
      <c r="A604" t="s">
        <v>779</v>
      </c>
      <c r="B604" s="2">
        <v>46293</v>
      </c>
      <c r="C604" t="s">
        <v>506</v>
      </c>
      <c r="D604" t="s">
        <v>35</v>
      </c>
      <c r="E604" t="s">
        <v>56</v>
      </c>
      <c r="F604" t="s">
        <v>23</v>
      </c>
      <c r="G604">
        <v>3</v>
      </c>
      <c r="H604" s="3">
        <v>3.75</v>
      </c>
      <c r="I604" s="3">
        <v>11.25</v>
      </c>
      <c r="J604" t="s">
        <v>27</v>
      </c>
      <c r="K604">
        <v>11</v>
      </c>
      <c r="L604">
        <v>11</v>
      </c>
      <c r="M604" t="s">
        <v>19</v>
      </c>
      <c r="N604">
        <f t="shared" si="18"/>
        <v>11.25</v>
      </c>
      <c r="O604" t="b">
        <f t="shared" si="19"/>
        <v>1</v>
      </c>
    </row>
    <row r="605" spans="1:15">
      <c r="A605" t="s">
        <v>780</v>
      </c>
      <c r="B605" s="2">
        <v>46204</v>
      </c>
      <c r="C605" t="s">
        <v>193</v>
      </c>
      <c r="D605" t="s">
        <v>35</v>
      </c>
      <c r="E605" t="s">
        <v>103</v>
      </c>
      <c r="F605" t="s">
        <v>23</v>
      </c>
      <c r="G605">
        <v>1</v>
      </c>
      <c r="H605" s="3">
        <v>3.25</v>
      </c>
      <c r="I605" s="3">
        <v>3.25</v>
      </c>
      <c r="J605" t="s">
        <v>18</v>
      </c>
      <c r="K605">
        <v>16</v>
      </c>
      <c r="L605">
        <v>20</v>
      </c>
      <c r="M605" t="s">
        <v>19</v>
      </c>
      <c r="N605">
        <f t="shared" si="18"/>
        <v>3.25</v>
      </c>
      <c r="O605" t="b">
        <f t="shared" si="19"/>
        <v>1</v>
      </c>
    </row>
    <row r="606" spans="1:15">
      <c r="A606" t="s">
        <v>781</v>
      </c>
      <c r="B606" s="2">
        <v>46115</v>
      </c>
      <c r="C606" t="s">
        <v>448</v>
      </c>
      <c r="D606" t="s">
        <v>35</v>
      </c>
      <c r="E606" t="s">
        <v>126</v>
      </c>
      <c r="F606" t="s">
        <v>31</v>
      </c>
      <c r="G606">
        <v>4</v>
      </c>
      <c r="H606" s="3">
        <v>7.95</v>
      </c>
      <c r="I606" s="3">
        <v>31.8</v>
      </c>
      <c r="J606" t="s">
        <v>27</v>
      </c>
      <c r="K606">
        <v>26</v>
      </c>
      <c r="L606">
        <v>24</v>
      </c>
      <c r="M606" t="s">
        <v>19</v>
      </c>
      <c r="N606">
        <f t="shared" si="18"/>
        <v>31.8</v>
      </c>
      <c r="O606" t="b">
        <f t="shared" si="19"/>
        <v>1</v>
      </c>
    </row>
    <row r="607" spans="1:15">
      <c r="A607" t="s">
        <v>782</v>
      </c>
      <c r="B607" s="2">
        <v>46129</v>
      </c>
      <c r="C607" t="s">
        <v>212</v>
      </c>
      <c r="D607" t="s">
        <v>35</v>
      </c>
      <c r="E607" t="s">
        <v>83</v>
      </c>
      <c r="F607" t="s">
        <v>17</v>
      </c>
      <c r="G607">
        <v>1</v>
      </c>
      <c r="H607" s="3">
        <v>13.5</v>
      </c>
      <c r="I607" s="3">
        <v>13.5</v>
      </c>
      <c r="J607" t="s">
        <v>18</v>
      </c>
      <c r="K607">
        <v>26</v>
      </c>
      <c r="L607">
        <v>24</v>
      </c>
      <c r="M607" t="s">
        <v>19</v>
      </c>
      <c r="N607">
        <f t="shared" si="18"/>
        <v>13.5</v>
      </c>
      <c r="O607" t="b">
        <f t="shared" si="19"/>
        <v>1</v>
      </c>
    </row>
    <row r="608" spans="1:15">
      <c r="A608" t="s">
        <v>783</v>
      </c>
      <c r="B608" s="2">
        <v>46028</v>
      </c>
      <c r="C608" t="s">
        <v>105</v>
      </c>
      <c r="D608" t="s">
        <v>35</v>
      </c>
      <c r="E608" t="s">
        <v>41</v>
      </c>
      <c r="F608" t="s">
        <v>31</v>
      </c>
      <c r="G608">
        <v>2</v>
      </c>
      <c r="H608" s="3">
        <v>5.5</v>
      </c>
      <c r="I608" s="3">
        <v>11</v>
      </c>
      <c r="J608" t="s">
        <v>27</v>
      </c>
      <c r="K608">
        <v>25</v>
      </c>
      <c r="L608">
        <v>17</v>
      </c>
      <c r="M608" t="s">
        <v>19</v>
      </c>
      <c r="N608">
        <f t="shared" si="18"/>
        <v>11</v>
      </c>
      <c r="O608" t="b">
        <f t="shared" si="19"/>
        <v>1</v>
      </c>
    </row>
    <row r="609" spans="1:15">
      <c r="A609" t="s">
        <v>784</v>
      </c>
      <c r="B609" s="2">
        <v>46193</v>
      </c>
      <c r="C609" t="s">
        <v>408</v>
      </c>
      <c r="D609" t="s">
        <v>15</v>
      </c>
      <c r="E609" t="s">
        <v>26</v>
      </c>
      <c r="F609" t="s">
        <v>17</v>
      </c>
      <c r="G609">
        <v>2</v>
      </c>
      <c r="H609" s="3">
        <v>11.5</v>
      </c>
      <c r="I609" s="3">
        <v>23</v>
      </c>
      <c r="J609" t="s">
        <v>32</v>
      </c>
      <c r="K609">
        <v>11</v>
      </c>
      <c r="L609">
        <v>23</v>
      </c>
      <c r="M609" t="s">
        <v>19</v>
      </c>
      <c r="N609">
        <f t="shared" si="18"/>
        <v>23</v>
      </c>
      <c r="O609" t="b">
        <f t="shared" si="19"/>
        <v>1</v>
      </c>
    </row>
    <row r="610" spans="1:15">
      <c r="A610" t="s">
        <v>785</v>
      </c>
      <c r="B610" s="2">
        <v>46268</v>
      </c>
      <c r="C610" t="s">
        <v>199</v>
      </c>
      <c r="D610" t="s">
        <v>35</v>
      </c>
      <c r="E610" t="s">
        <v>50</v>
      </c>
      <c r="F610" t="s">
        <v>17</v>
      </c>
      <c r="G610">
        <v>1</v>
      </c>
      <c r="H610" s="3">
        <v>14.5</v>
      </c>
      <c r="I610" s="3">
        <v>14.5</v>
      </c>
      <c r="J610" t="s">
        <v>27</v>
      </c>
      <c r="K610">
        <v>29</v>
      </c>
      <c r="L610">
        <v>8</v>
      </c>
      <c r="M610" t="s">
        <v>19</v>
      </c>
      <c r="N610">
        <f t="shared" si="18"/>
        <v>14.5</v>
      </c>
      <c r="O610" t="b">
        <f t="shared" si="19"/>
        <v>1</v>
      </c>
    </row>
    <row r="611" spans="1:15">
      <c r="A611" t="s">
        <v>786</v>
      </c>
      <c r="B611" s="2">
        <v>46234</v>
      </c>
      <c r="C611" t="s">
        <v>400</v>
      </c>
      <c r="D611" t="s">
        <v>35</v>
      </c>
      <c r="E611" t="s">
        <v>126</v>
      </c>
      <c r="F611" t="s">
        <v>31</v>
      </c>
      <c r="G611">
        <v>1</v>
      </c>
      <c r="H611" s="3">
        <v>7.95</v>
      </c>
      <c r="I611" s="3">
        <v>7.95</v>
      </c>
      <c r="J611" t="s">
        <v>18</v>
      </c>
      <c r="K611">
        <v>11</v>
      </c>
      <c r="L611">
        <v>22</v>
      </c>
      <c r="M611" t="s">
        <v>19</v>
      </c>
      <c r="N611">
        <f t="shared" si="18"/>
        <v>7.95</v>
      </c>
      <c r="O611" t="b">
        <f t="shared" si="19"/>
        <v>1</v>
      </c>
    </row>
    <row r="612" spans="1:15">
      <c r="A612" t="s">
        <v>787</v>
      </c>
      <c r="B612" s="2">
        <v>46032</v>
      </c>
      <c r="C612" t="s">
        <v>471</v>
      </c>
      <c r="D612" t="s">
        <v>15</v>
      </c>
      <c r="E612" t="s">
        <v>39</v>
      </c>
      <c r="F612" t="s">
        <v>17</v>
      </c>
      <c r="G612">
        <v>3</v>
      </c>
      <c r="H612" s="3">
        <v>12.95</v>
      </c>
      <c r="I612" s="3">
        <v>38.85</v>
      </c>
      <c r="J612" t="s">
        <v>18</v>
      </c>
      <c r="K612">
        <v>13</v>
      </c>
      <c r="L612">
        <v>18</v>
      </c>
      <c r="M612" t="s">
        <v>19</v>
      </c>
      <c r="N612">
        <f t="shared" si="18"/>
        <v>38.849999999999994</v>
      </c>
      <c r="O612" t="b">
        <f t="shared" si="19"/>
        <v>1</v>
      </c>
    </row>
    <row r="613" spans="1:15">
      <c r="A613" t="s">
        <v>788</v>
      </c>
      <c r="B613" s="2">
        <v>46107</v>
      </c>
      <c r="C613" t="s">
        <v>148</v>
      </c>
      <c r="D613" t="s">
        <v>35</v>
      </c>
      <c r="E613" t="s">
        <v>56</v>
      </c>
      <c r="F613" t="s">
        <v>23</v>
      </c>
      <c r="G613">
        <v>1</v>
      </c>
      <c r="H613" s="3">
        <v>3.75</v>
      </c>
      <c r="I613" s="3">
        <v>0</v>
      </c>
      <c r="J613" t="s">
        <v>18</v>
      </c>
      <c r="K613">
        <v>10</v>
      </c>
      <c r="L613">
        <v>8</v>
      </c>
      <c r="M613" t="s">
        <v>152</v>
      </c>
      <c r="N613">
        <f t="shared" si="18"/>
        <v>3.75</v>
      </c>
      <c r="O613" t="b">
        <f t="shared" si="19"/>
        <v>1</v>
      </c>
    </row>
    <row r="614" spans="1:15">
      <c r="A614" t="s">
        <v>789</v>
      </c>
      <c r="B614" s="2">
        <v>46184</v>
      </c>
      <c r="C614" t="s">
        <v>173</v>
      </c>
      <c r="D614" t="s">
        <v>35</v>
      </c>
      <c r="E614" t="s">
        <v>39</v>
      </c>
      <c r="F614" t="s">
        <v>17</v>
      </c>
      <c r="G614">
        <v>1</v>
      </c>
      <c r="H614" s="3">
        <v>12.95</v>
      </c>
      <c r="I614" s="3">
        <v>12.95</v>
      </c>
      <c r="J614" t="s">
        <v>27</v>
      </c>
      <c r="K614">
        <v>10</v>
      </c>
      <c r="L614">
        <v>12</v>
      </c>
      <c r="M614" t="s">
        <v>19</v>
      </c>
      <c r="N614">
        <f t="shared" si="18"/>
        <v>12.95</v>
      </c>
      <c r="O614" t="b">
        <f t="shared" si="19"/>
        <v>1</v>
      </c>
    </row>
    <row r="615" spans="1:15">
      <c r="A615" t="s">
        <v>790</v>
      </c>
      <c r="B615" s="2">
        <v>46177</v>
      </c>
      <c r="C615" t="s">
        <v>248</v>
      </c>
      <c r="D615" t="s">
        <v>15</v>
      </c>
      <c r="E615" t="s">
        <v>70</v>
      </c>
      <c r="F615" t="s">
        <v>17</v>
      </c>
      <c r="G615">
        <v>3</v>
      </c>
      <c r="H615" s="3">
        <v>12.5</v>
      </c>
      <c r="I615" s="3">
        <v>37.5</v>
      </c>
      <c r="J615" t="s">
        <v>27</v>
      </c>
      <c r="K615">
        <v>17</v>
      </c>
      <c r="L615">
        <v>24</v>
      </c>
      <c r="M615" t="s">
        <v>19</v>
      </c>
      <c r="N615">
        <f t="shared" si="18"/>
        <v>37.5</v>
      </c>
      <c r="O615" t="b">
        <f t="shared" si="19"/>
        <v>1</v>
      </c>
    </row>
    <row r="616" spans="1:15">
      <c r="A616" t="s">
        <v>791</v>
      </c>
      <c r="B616" s="2">
        <v>46270</v>
      </c>
      <c r="C616" t="s">
        <v>116</v>
      </c>
      <c r="D616" t="s">
        <v>35</v>
      </c>
      <c r="E616" t="s">
        <v>93</v>
      </c>
      <c r="F616" t="s">
        <v>31</v>
      </c>
      <c r="G616">
        <v>3</v>
      </c>
      <c r="H616" s="3">
        <v>6.25</v>
      </c>
      <c r="I616" s="3">
        <v>18.75</v>
      </c>
      <c r="J616" t="s">
        <v>27</v>
      </c>
      <c r="K616">
        <v>11</v>
      </c>
      <c r="L616">
        <v>23</v>
      </c>
      <c r="M616" t="s">
        <v>19</v>
      </c>
      <c r="N616">
        <f t="shared" si="18"/>
        <v>18.75</v>
      </c>
      <c r="O616" t="b">
        <f t="shared" si="19"/>
        <v>1</v>
      </c>
    </row>
    <row r="617" spans="1:15">
      <c r="A617" t="s">
        <v>792</v>
      </c>
      <c r="B617" s="2">
        <v>46073</v>
      </c>
      <c r="C617" t="s">
        <v>130</v>
      </c>
      <c r="D617" t="s">
        <v>35</v>
      </c>
      <c r="E617" t="s">
        <v>50</v>
      </c>
      <c r="F617" t="s">
        <v>17</v>
      </c>
      <c r="G617">
        <v>1</v>
      </c>
      <c r="H617" s="3">
        <v>14.5</v>
      </c>
      <c r="I617" s="3">
        <v>14.5</v>
      </c>
      <c r="J617" t="s">
        <v>18</v>
      </c>
      <c r="K617">
        <v>15</v>
      </c>
      <c r="L617">
        <v>16</v>
      </c>
      <c r="M617" t="s">
        <v>19</v>
      </c>
      <c r="N617">
        <f t="shared" si="18"/>
        <v>14.5</v>
      </c>
      <c r="O617" t="b">
        <f t="shared" si="19"/>
        <v>1</v>
      </c>
    </row>
    <row r="618" spans="1:15">
      <c r="A618" t="s">
        <v>793</v>
      </c>
      <c r="B618" s="2">
        <v>46290</v>
      </c>
      <c r="C618" t="s">
        <v>248</v>
      </c>
      <c r="D618" t="s">
        <v>15</v>
      </c>
      <c r="E618" t="s">
        <v>56</v>
      </c>
      <c r="F618" t="s">
        <v>23</v>
      </c>
      <c r="G618">
        <v>2</v>
      </c>
      <c r="H618" s="3">
        <v>3.75</v>
      </c>
      <c r="I618" s="3">
        <v>7.5</v>
      </c>
      <c r="J618" t="s">
        <v>32</v>
      </c>
      <c r="K618">
        <v>17</v>
      </c>
      <c r="L618">
        <v>7</v>
      </c>
      <c r="M618" t="s">
        <v>19</v>
      </c>
      <c r="N618">
        <f t="shared" si="18"/>
        <v>7.5</v>
      </c>
      <c r="O618" t="b">
        <f t="shared" si="19"/>
        <v>1</v>
      </c>
    </row>
    <row r="619" spans="1:15">
      <c r="A619" t="s">
        <v>794</v>
      </c>
      <c r="B619" s="2">
        <v>46182</v>
      </c>
      <c r="C619" t="s">
        <v>326</v>
      </c>
      <c r="D619" t="s">
        <v>15</v>
      </c>
      <c r="E619" t="s">
        <v>70</v>
      </c>
      <c r="F619" t="s">
        <v>17</v>
      </c>
      <c r="G619">
        <v>1</v>
      </c>
      <c r="H619" s="3">
        <v>12.5</v>
      </c>
      <c r="I619" s="3">
        <v>12.5</v>
      </c>
      <c r="J619" t="s">
        <v>27</v>
      </c>
      <c r="K619">
        <v>10</v>
      </c>
      <c r="L619">
        <v>16</v>
      </c>
      <c r="M619" t="s">
        <v>19</v>
      </c>
      <c r="N619">
        <f t="shared" si="18"/>
        <v>12.5</v>
      </c>
      <c r="O619" t="b">
        <f t="shared" si="19"/>
        <v>1</v>
      </c>
    </row>
    <row r="620" spans="1:15">
      <c r="A620" t="s">
        <v>795</v>
      </c>
      <c r="B620" s="2">
        <v>46186</v>
      </c>
      <c r="C620" t="s">
        <v>279</v>
      </c>
      <c r="D620" t="s">
        <v>35</v>
      </c>
      <c r="E620" t="s">
        <v>41</v>
      </c>
      <c r="F620" t="s">
        <v>31</v>
      </c>
      <c r="G620">
        <v>1</v>
      </c>
      <c r="H620" s="3">
        <v>5.5</v>
      </c>
      <c r="I620" s="3">
        <v>5.5</v>
      </c>
      <c r="J620" t="s">
        <v>18</v>
      </c>
      <c r="K620">
        <v>18</v>
      </c>
      <c r="L620">
        <v>31</v>
      </c>
      <c r="M620" t="s">
        <v>19</v>
      </c>
      <c r="N620">
        <f t="shared" si="18"/>
        <v>5.5</v>
      </c>
      <c r="O620" t="b">
        <f t="shared" si="19"/>
        <v>1</v>
      </c>
    </row>
    <row r="621" spans="1:15">
      <c r="A621" t="s">
        <v>796</v>
      </c>
      <c r="B621" s="2">
        <v>46128</v>
      </c>
      <c r="C621" t="s">
        <v>519</v>
      </c>
      <c r="D621" t="s">
        <v>35</v>
      </c>
      <c r="E621" t="s">
        <v>41</v>
      </c>
      <c r="F621" t="s">
        <v>31</v>
      </c>
      <c r="G621">
        <v>1</v>
      </c>
      <c r="H621" s="3">
        <v>5.5</v>
      </c>
      <c r="I621" s="3">
        <v>5.5</v>
      </c>
      <c r="J621" t="s">
        <v>27</v>
      </c>
      <c r="K621">
        <v>26</v>
      </c>
      <c r="L621">
        <v>29</v>
      </c>
      <c r="M621" t="s">
        <v>19</v>
      </c>
      <c r="N621">
        <f t="shared" si="18"/>
        <v>5.5</v>
      </c>
      <c r="O621" t="b">
        <f t="shared" si="19"/>
        <v>1</v>
      </c>
    </row>
    <row r="622" spans="1:15">
      <c r="A622" t="s">
        <v>797</v>
      </c>
      <c r="B622" s="2">
        <v>46148</v>
      </c>
      <c r="C622" t="s">
        <v>295</v>
      </c>
      <c r="D622" t="s">
        <v>15</v>
      </c>
      <c r="E622" t="s">
        <v>93</v>
      </c>
      <c r="F622" t="s">
        <v>31</v>
      </c>
      <c r="G622">
        <v>1</v>
      </c>
      <c r="H622" s="3">
        <v>6.25</v>
      </c>
      <c r="I622" s="3">
        <v>6.25</v>
      </c>
      <c r="J622" t="s">
        <v>27</v>
      </c>
      <c r="K622">
        <v>22</v>
      </c>
      <c r="L622">
        <v>20</v>
      </c>
      <c r="M622" t="s">
        <v>19</v>
      </c>
      <c r="N622">
        <f t="shared" si="18"/>
        <v>6.25</v>
      </c>
      <c r="O622" t="b">
        <f t="shared" si="19"/>
        <v>1</v>
      </c>
    </row>
    <row r="623" spans="1:15">
      <c r="A623" t="s">
        <v>798</v>
      </c>
      <c r="B623" s="2">
        <v>46219</v>
      </c>
      <c r="C623" t="s">
        <v>398</v>
      </c>
      <c r="D623" t="s">
        <v>15</v>
      </c>
      <c r="E623" t="s">
        <v>106</v>
      </c>
      <c r="F623" t="s">
        <v>17</v>
      </c>
      <c r="G623">
        <v>2</v>
      </c>
      <c r="H623" s="3">
        <v>15.95</v>
      </c>
      <c r="I623" s="3">
        <v>31.9</v>
      </c>
      <c r="J623" t="s">
        <v>32</v>
      </c>
      <c r="K623">
        <v>21</v>
      </c>
      <c r="L623">
        <v>20</v>
      </c>
      <c r="M623" t="s">
        <v>19</v>
      </c>
      <c r="N623">
        <f t="shared" si="18"/>
        <v>31.9</v>
      </c>
      <c r="O623" t="b">
        <f t="shared" si="19"/>
        <v>1</v>
      </c>
    </row>
    <row r="624" spans="1:15">
      <c r="A624" t="s">
        <v>799</v>
      </c>
      <c r="B624" s="2">
        <v>46251</v>
      </c>
      <c r="C624" t="s">
        <v>118</v>
      </c>
      <c r="D624" t="s">
        <v>35</v>
      </c>
      <c r="E624" t="s">
        <v>70</v>
      </c>
      <c r="F624" t="s">
        <v>17</v>
      </c>
      <c r="G624">
        <v>2</v>
      </c>
      <c r="H624" s="3">
        <v>12.5</v>
      </c>
      <c r="I624" s="3">
        <v>25</v>
      </c>
      <c r="J624" t="s">
        <v>32</v>
      </c>
      <c r="K624">
        <v>30</v>
      </c>
      <c r="L624">
        <v>20</v>
      </c>
      <c r="M624" t="s">
        <v>19</v>
      </c>
      <c r="N624">
        <f t="shared" si="18"/>
        <v>25</v>
      </c>
      <c r="O624" t="b">
        <f t="shared" si="19"/>
        <v>1</v>
      </c>
    </row>
    <row r="625" spans="1:15">
      <c r="A625" t="s">
        <v>800</v>
      </c>
      <c r="B625" s="2">
        <v>46261</v>
      </c>
      <c r="C625" t="s">
        <v>314</v>
      </c>
      <c r="D625" t="s">
        <v>35</v>
      </c>
      <c r="E625" t="s">
        <v>96</v>
      </c>
      <c r="F625" t="s">
        <v>47</v>
      </c>
      <c r="G625">
        <v>1</v>
      </c>
      <c r="H625" s="3">
        <v>5.75</v>
      </c>
      <c r="I625" s="3">
        <v>5.75</v>
      </c>
      <c r="J625" t="s">
        <v>18</v>
      </c>
      <c r="K625">
        <v>22</v>
      </c>
      <c r="L625">
        <v>17</v>
      </c>
      <c r="M625" t="s">
        <v>19</v>
      </c>
      <c r="N625">
        <f t="shared" si="18"/>
        <v>5.75</v>
      </c>
      <c r="O625" t="b">
        <f t="shared" si="19"/>
        <v>1</v>
      </c>
    </row>
    <row r="626" spans="1:15">
      <c r="A626" t="s">
        <v>801</v>
      </c>
      <c r="B626" s="2">
        <v>46261</v>
      </c>
      <c r="C626" t="s">
        <v>85</v>
      </c>
      <c r="D626" t="s">
        <v>35</v>
      </c>
      <c r="E626" t="s">
        <v>56</v>
      </c>
      <c r="F626" t="s">
        <v>23</v>
      </c>
      <c r="G626">
        <v>1</v>
      </c>
      <c r="H626" s="3">
        <v>3.75</v>
      </c>
      <c r="I626" s="3">
        <v>3.75</v>
      </c>
      <c r="J626" t="s">
        <v>27</v>
      </c>
      <c r="K626">
        <v>22</v>
      </c>
      <c r="L626">
        <v>5</v>
      </c>
      <c r="M626" t="s">
        <v>19</v>
      </c>
      <c r="N626">
        <f t="shared" si="18"/>
        <v>3.75</v>
      </c>
      <c r="O626" t="b">
        <f t="shared" si="19"/>
        <v>1</v>
      </c>
    </row>
    <row r="627" spans="1:15">
      <c r="A627" t="s">
        <v>802</v>
      </c>
      <c r="B627" s="2">
        <v>46189</v>
      </c>
      <c r="C627" t="s">
        <v>265</v>
      </c>
      <c r="D627" t="s">
        <v>35</v>
      </c>
      <c r="E627" t="s">
        <v>103</v>
      </c>
      <c r="F627" t="s">
        <v>23</v>
      </c>
      <c r="G627">
        <v>1</v>
      </c>
      <c r="H627" s="3">
        <v>3.25</v>
      </c>
      <c r="I627" s="3">
        <v>3.25</v>
      </c>
      <c r="J627" t="s">
        <v>32</v>
      </c>
      <c r="K627">
        <v>15</v>
      </c>
      <c r="L627">
        <v>18</v>
      </c>
      <c r="M627" t="s">
        <v>19</v>
      </c>
      <c r="N627">
        <f t="shared" si="18"/>
        <v>3.25</v>
      </c>
      <c r="O627" t="b">
        <f t="shared" si="19"/>
        <v>1</v>
      </c>
    </row>
    <row r="628" spans="1:15">
      <c r="A628" t="s">
        <v>803</v>
      </c>
      <c r="B628" s="2">
        <v>46167</v>
      </c>
      <c r="C628" t="s">
        <v>193</v>
      </c>
      <c r="D628" t="s">
        <v>35</v>
      </c>
      <c r="E628" t="s">
        <v>50</v>
      </c>
      <c r="F628" t="s">
        <v>17</v>
      </c>
      <c r="G628">
        <v>1</v>
      </c>
      <c r="H628" s="3">
        <v>14.5</v>
      </c>
      <c r="I628" s="3">
        <v>14.5</v>
      </c>
      <c r="J628" t="s">
        <v>18</v>
      </c>
      <c r="K628">
        <v>11</v>
      </c>
      <c r="L628">
        <v>24</v>
      </c>
      <c r="M628" t="s">
        <v>19</v>
      </c>
      <c r="N628">
        <f t="shared" si="18"/>
        <v>14.5</v>
      </c>
      <c r="O628" t="b">
        <f t="shared" si="19"/>
        <v>1</v>
      </c>
    </row>
    <row r="629" spans="1:15">
      <c r="A629" t="s">
        <v>804</v>
      </c>
      <c r="B629" s="2">
        <v>46059</v>
      </c>
      <c r="C629" t="s">
        <v>139</v>
      </c>
      <c r="D629" t="s">
        <v>35</v>
      </c>
      <c r="E629" t="s">
        <v>46</v>
      </c>
      <c r="F629" t="s">
        <v>47</v>
      </c>
      <c r="G629">
        <v>2</v>
      </c>
      <c r="H629" s="3">
        <v>6.95</v>
      </c>
      <c r="I629" s="3">
        <v>13.9</v>
      </c>
      <c r="J629" t="s">
        <v>27</v>
      </c>
      <c r="K629">
        <v>20</v>
      </c>
      <c r="L629">
        <v>10</v>
      </c>
      <c r="M629" t="s">
        <v>19</v>
      </c>
      <c r="N629">
        <f t="shared" si="18"/>
        <v>13.9</v>
      </c>
      <c r="O629" t="b">
        <f t="shared" si="19"/>
        <v>1</v>
      </c>
    </row>
    <row r="630" spans="1:15">
      <c r="A630" t="s">
        <v>805</v>
      </c>
      <c r="B630" s="2">
        <v>46104</v>
      </c>
      <c r="C630" t="s">
        <v>34</v>
      </c>
      <c r="D630" t="s">
        <v>35</v>
      </c>
      <c r="E630" t="s">
        <v>93</v>
      </c>
      <c r="F630" t="s">
        <v>31</v>
      </c>
      <c r="G630">
        <v>1</v>
      </c>
      <c r="H630" s="3">
        <v>6.25</v>
      </c>
      <c r="I630" s="3">
        <v>6.25</v>
      </c>
      <c r="J630" t="s">
        <v>18</v>
      </c>
      <c r="K630">
        <v>14</v>
      </c>
      <c r="L630">
        <v>11</v>
      </c>
      <c r="M630" t="s">
        <v>19</v>
      </c>
      <c r="N630">
        <f t="shared" si="18"/>
        <v>6.25</v>
      </c>
      <c r="O630" t="b">
        <f t="shared" si="19"/>
        <v>1</v>
      </c>
    </row>
    <row r="631" spans="1:15">
      <c r="A631" t="s">
        <v>806</v>
      </c>
      <c r="B631" s="2">
        <v>46198</v>
      </c>
      <c r="C631" t="s">
        <v>85</v>
      </c>
      <c r="D631" t="s">
        <v>35</v>
      </c>
      <c r="E631" t="s">
        <v>39</v>
      </c>
      <c r="F631" t="s">
        <v>17</v>
      </c>
      <c r="G631">
        <v>2</v>
      </c>
      <c r="H631" s="3">
        <v>12.95</v>
      </c>
      <c r="I631" s="3">
        <v>25.9</v>
      </c>
      <c r="J631" t="s">
        <v>32</v>
      </c>
      <c r="K631">
        <v>19</v>
      </c>
      <c r="L631">
        <v>14</v>
      </c>
      <c r="M631" t="s">
        <v>19</v>
      </c>
      <c r="N631">
        <f t="shared" si="18"/>
        <v>25.9</v>
      </c>
      <c r="O631" t="b">
        <f t="shared" si="19"/>
        <v>1</v>
      </c>
    </row>
    <row r="632" spans="1:15">
      <c r="A632" t="s">
        <v>807</v>
      </c>
      <c r="B632" s="2">
        <v>46081</v>
      </c>
      <c r="C632" t="s">
        <v>180</v>
      </c>
      <c r="D632" t="s">
        <v>35</v>
      </c>
      <c r="E632" t="s">
        <v>36</v>
      </c>
      <c r="F632" t="s">
        <v>23</v>
      </c>
      <c r="G632">
        <v>1</v>
      </c>
      <c r="H632" s="3">
        <v>2.8</v>
      </c>
      <c r="I632" s="3">
        <v>2.8</v>
      </c>
      <c r="J632" t="s">
        <v>18</v>
      </c>
      <c r="K632">
        <v>3</v>
      </c>
      <c r="L632">
        <v>19</v>
      </c>
      <c r="M632" t="s">
        <v>19</v>
      </c>
      <c r="N632">
        <f t="shared" si="18"/>
        <v>2.8</v>
      </c>
      <c r="O632" t="b">
        <f t="shared" si="19"/>
        <v>1</v>
      </c>
    </row>
    <row r="633" spans="1:15">
      <c r="A633" t="s">
        <v>808</v>
      </c>
      <c r="B633" s="2">
        <v>46217</v>
      </c>
      <c r="C633" t="s">
        <v>322</v>
      </c>
      <c r="D633" t="s">
        <v>15</v>
      </c>
      <c r="E633" t="s">
        <v>70</v>
      </c>
      <c r="F633" t="s">
        <v>17</v>
      </c>
      <c r="G633">
        <v>2</v>
      </c>
      <c r="H633" s="3">
        <v>12.5</v>
      </c>
      <c r="I633" s="3">
        <v>25</v>
      </c>
      <c r="J633" t="s">
        <v>32</v>
      </c>
      <c r="K633">
        <v>29</v>
      </c>
      <c r="L633">
        <v>29</v>
      </c>
      <c r="M633" t="s">
        <v>19</v>
      </c>
      <c r="N633">
        <f t="shared" si="18"/>
        <v>25</v>
      </c>
      <c r="O633" t="b">
        <f t="shared" si="19"/>
        <v>1</v>
      </c>
    </row>
    <row r="634" spans="1:15">
      <c r="A634" t="s">
        <v>809</v>
      </c>
      <c r="B634" s="2">
        <v>46023</v>
      </c>
      <c r="C634" t="s">
        <v>112</v>
      </c>
      <c r="D634" t="s">
        <v>35</v>
      </c>
      <c r="E634" t="s">
        <v>96</v>
      </c>
      <c r="F634" t="s">
        <v>47</v>
      </c>
      <c r="G634">
        <v>1</v>
      </c>
      <c r="H634" s="3">
        <v>5.75</v>
      </c>
      <c r="I634" s="3">
        <v>5.75</v>
      </c>
      <c r="J634" t="s">
        <v>18</v>
      </c>
      <c r="K634">
        <v>7</v>
      </c>
      <c r="L634">
        <v>15</v>
      </c>
      <c r="M634" t="s">
        <v>19</v>
      </c>
      <c r="N634">
        <f t="shared" si="18"/>
        <v>5.75</v>
      </c>
      <c r="O634" t="b">
        <f t="shared" si="19"/>
        <v>1</v>
      </c>
    </row>
    <row r="635" spans="1:15">
      <c r="A635" t="s">
        <v>810</v>
      </c>
      <c r="B635" s="2">
        <v>46185</v>
      </c>
      <c r="C635" t="s">
        <v>288</v>
      </c>
      <c r="D635" t="s">
        <v>15</v>
      </c>
      <c r="E635" t="s">
        <v>30</v>
      </c>
      <c r="F635" t="s">
        <v>31</v>
      </c>
      <c r="G635">
        <v>4</v>
      </c>
      <c r="H635" s="3">
        <v>8.5</v>
      </c>
      <c r="I635" s="3">
        <v>34</v>
      </c>
      <c r="J635" t="s">
        <v>18</v>
      </c>
      <c r="K635">
        <v>1</v>
      </c>
      <c r="L635">
        <v>11</v>
      </c>
      <c r="M635" t="s">
        <v>19</v>
      </c>
      <c r="N635">
        <f t="shared" si="18"/>
        <v>34</v>
      </c>
      <c r="O635" t="b">
        <f t="shared" si="19"/>
        <v>1</v>
      </c>
    </row>
    <row r="636" spans="1:15">
      <c r="A636" t="s">
        <v>811</v>
      </c>
      <c r="B636" s="2">
        <v>46284</v>
      </c>
      <c r="C636" t="s">
        <v>158</v>
      </c>
      <c r="D636" t="s">
        <v>35</v>
      </c>
      <c r="E636" t="s">
        <v>83</v>
      </c>
      <c r="F636" t="s">
        <v>17</v>
      </c>
      <c r="G636">
        <v>1</v>
      </c>
      <c r="H636" s="3">
        <v>13.5</v>
      </c>
      <c r="I636" s="3">
        <v>13.5</v>
      </c>
      <c r="J636" t="s">
        <v>32</v>
      </c>
      <c r="K636">
        <v>18</v>
      </c>
      <c r="L636">
        <v>20</v>
      </c>
      <c r="M636" t="s">
        <v>19</v>
      </c>
      <c r="N636">
        <f t="shared" si="18"/>
        <v>13.5</v>
      </c>
      <c r="O636" t="b">
        <f t="shared" si="19"/>
        <v>1</v>
      </c>
    </row>
    <row r="637" spans="1:15">
      <c r="A637" t="s">
        <v>812</v>
      </c>
      <c r="B637" s="2">
        <v>46206</v>
      </c>
      <c r="C637" t="s">
        <v>248</v>
      </c>
      <c r="D637" t="s">
        <v>15</v>
      </c>
      <c r="E637" t="s">
        <v>16</v>
      </c>
      <c r="F637" t="s">
        <v>17</v>
      </c>
      <c r="G637">
        <v>1</v>
      </c>
      <c r="H637" s="3">
        <v>9.9499999999999993</v>
      </c>
      <c r="I637" s="3">
        <v>9.9499999999999993</v>
      </c>
      <c r="J637" t="s">
        <v>18</v>
      </c>
      <c r="K637">
        <v>13</v>
      </c>
      <c r="L637">
        <v>15</v>
      </c>
      <c r="M637" t="s">
        <v>19</v>
      </c>
      <c r="N637">
        <f t="shared" si="18"/>
        <v>9.9499999999999993</v>
      </c>
      <c r="O637" t="b">
        <f t="shared" si="19"/>
        <v>1</v>
      </c>
    </row>
    <row r="638" spans="1:15">
      <c r="A638" t="s">
        <v>813</v>
      </c>
      <c r="B638" s="2">
        <v>46218</v>
      </c>
      <c r="C638" t="s">
        <v>208</v>
      </c>
      <c r="D638" t="s">
        <v>35</v>
      </c>
      <c r="E638" t="s">
        <v>70</v>
      </c>
      <c r="F638" t="s">
        <v>17</v>
      </c>
      <c r="G638">
        <v>2</v>
      </c>
      <c r="H638" s="3">
        <v>12.5</v>
      </c>
      <c r="I638" s="3">
        <v>25</v>
      </c>
      <c r="J638" t="s">
        <v>53</v>
      </c>
      <c r="K638">
        <v>27</v>
      </c>
      <c r="L638">
        <v>24</v>
      </c>
      <c r="M638" t="s">
        <v>19</v>
      </c>
      <c r="N638">
        <f t="shared" si="18"/>
        <v>25</v>
      </c>
      <c r="O638" t="b">
        <f t="shared" si="19"/>
        <v>1</v>
      </c>
    </row>
    <row r="639" spans="1:15">
      <c r="A639" t="s">
        <v>814</v>
      </c>
      <c r="B639" s="2">
        <v>46236</v>
      </c>
      <c r="C639" t="s">
        <v>512</v>
      </c>
      <c r="D639" t="s">
        <v>15</v>
      </c>
      <c r="E639" t="s">
        <v>26</v>
      </c>
      <c r="F639" t="s">
        <v>17</v>
      </c>
      <c r="G639">
        <v>1</v>
      </c>
      <c r="H639" s="3">
        <v>11.5</v>
      </c>
      <c r="I639" s="3">
        <v>11.5</v>
      </c>
      <c r="J639" t="s">
        <v>18</v>
      </c>
      <c r="K639">
        <v>5</v>
      </c>
      <c r="L639">
        <v>21</v>
      </c>
      <c r="M639" t="s">
        <v>19</v>
      </c>
      <c r="N639">
        <f t="shared" si="18"/>
        <v>11.5</v>
      </c>
      <c r="O639" t="b">
        <f t="shared" si="19"/>
        <v>1</v>
      </c>
    </row>
    <row r="640" spans="1:15">
      <c r="A640" t="s">
        <v>815</v>
      </c>
      <c r="B640" s="2">
        <v>46272</v>
      </c>
      <c r="C640" t="s">
        <v>169</v>
      </c>
      <c r="D640" t="s">
        <v>35</v>
      </c>
      <c r="E640" t="s">
        <v>50</v>
      </c>
      <c r="F640" t="s">
        <v>17</v>
      </c>
      <c r="G640">
        <v>2</v>
      </c>
      <c r="H640" s="3">
        <v>14.5</v>
      </c>
      <c r="I640" s="3">
        <v>29</v>
      </c>
      <c r="J640" t="s">
        <v>18</v>
      </c>
      <c r="K640">
        <v>23</v>
      </c>
      <c r="L640">
        <v>28</v>
      </c>
      <c r="M640" t="s">
        <v>19</v>
      </c>
      <c r="N640">
        <f t="shared" si="18"/>
        <v>29</v>
      </c>
      <c r="O640" t="b">
        <f t="shared" si="19"/>
        <v>1</v>
      </c>
    </row>
    <row r="641" spans="1:15">
      <c r="A641" t="s">
        <v>816</v>
      </c>
      <c r="B641" s="2">
        <v>46240</v>
      </c>
      <c r="C641" t="s">
        <v>208</v>
      </c>
      <c r="D641" t="s">
        <v>35</v>
      </c>
      <c r="E641" t="s">
        <v>78</v>
      </c>
      <c r="F641" t="s">
        <v>47</v>
      </c>
      <c r="G641">
        <v>1</v>
      </c>
      <c r="H641" s="3">
        <v>7.25</v>
      </c>
      <c r="I641" s="3">
        <v>7.25</v>
      </c>
      <c r="J641" t="s">
        <v>18</v>
      </c>
      <c r="K641">
        <v>13</v>
      </c>
      <c r="L641">
        <v>10</v>
      </c>
      <c r="M641" t="s">
        <v>19</v>
      </c>
      <c r="N641">
        <f t="shared" si="18"/>
        <v>7.25</v>
      </c>
      <c r="O641" t="b">
        <f t="shared" si="19"/>
        <v>1</v>
      </c>
    </row>
    <row r="642" spans="1:15">
      <c r="A642" t="s">
        <v>817</v>
      </c>
      <c r="B642" s="2">
        <v>46118</v>
      </c>
      <c r="C642" t="s">
        <v>182</v>
      </c>
      <c r="D642" t="s">
        <v>35</v>
      </c>
      <c r="E642" t="s">
        <v>103</v>
      </c>
      <c r="F642" t="s">
        <v>23</v>
      </c>
      <c r="G642">
        <v>2</v>
      </c>
      <c r="H642" s="3">
        <v>3.25</v>
      </c>
      <c r="I642" s="3">
        <v>6.5</v>
      </c>
      <c r="J642" t="s">
        <v>18</v>
      </c>
      <c r="K642">
        <v>30</v>
      </c>
      <c r="L642">
        <v>11</v>
      </c>
      <c r="M642" t="s">
        <v>19</v>
      </c>
      <c r="N642">
        <f t="shared" ref="N642:N705" si="20">G642*H642</f>
        <v>6.5</v>
      </c>
      <c r="O642" t="b">
        <f t="shared" ref="O642:O705" si="21">OR(AND(M642="Completed",I642=N642),AND(M642="Refunded",ABS(I642)=N642),AND(M642="Cancelled",I642=0))</f>
        <v>1</v>
      </c>
    </row>
    <row r="643" spans="1:15">
      <c r="A643" t="s">
        <v>818</v>
      </c>
      <c r="B643" s="2">
        <v>46210</v>
      </c>
      <c r="C643" t="s">
        <v>391</v>
      </c>
      <c r="D643" t="s">
        <v>15</v>
      </c>
      <c r="E643" t="s">
        <v>103</v>
      </c>
      <c r="F643" t="s">
        <v>23</v>
      </c>
      <c r="G643">
        <v>2</v>
      </c>
      <c r="H643" s="3">
        <v>3.25</v>
      </c>
      <c r="I643" s="3">
        <v>6.5</v>
      </c>
      <c r="J643" t="s">
        <v>18</v>
      </c>
      <c r="K643">
        <v>19</v>
      </c>
      <c r="L643">
        <v>4</v>
      </c>
      <c r="M643" t="s">
        <v>19</v>
      </c>
      <c r="N643">
        <f t="shared" si="20"/>
        <v>6.5</v>
      </c>
      <c r="O643" t="b">
        <f t="shared" si="21"/>
        <v>1</v>
      </c>
    </row>
    <row r="644" spans="1:15">
      <c r="A644" t="s">
        <v>819</v>
      </c>
      <c r="B644" s="2">
        <v>46063</v>
      </c>
      <c r="C644" t="s">
        <v>25</v>
      </c>
      <c r="D644" t="s">
        <v>15</v>
      </c>
      <c r="E644" t="s">
        <v>96</v>
      </c>
      <c r="F644" t="s">
        <v>47</v>
      </c>
      <c r="G644">
        <v>1</v>
      </c>
      <c r="H644" s="3">
        <v>5.75</v>
      </c>
      <c r="I644" s="3">
        <v>5.75</v>
      </c>
      <c r="J644" t="s">
        <v>18</v>
      </c>
      <c r="K644">
        <v>16</v>
      </c>
      <c r="L644">
        <v>17</v>
      </c>
      <c r="M644" t="s">
        <v>19</v>
      </c>
      <c r="N644">
        <f t="shared" si="20"/>
        <v>5.75</v>
      </c>
      <c r="O644" t="b">
        <f t="shared" si="21"/>
        <v>1</v>
      </c>
    </row>
    <row r="645" spans="1:15">
      <c r="A645" t="s">
        <v>820</v>
      </c>
      <c r="B645" s="2">
        <v>46062</v>
      </c>
      <c r="C645" t="s">
        <v>193</v>
      </c>
      <c r="D645" t="s">
        <v>35</v>
      </c>
      <c r="E645" t="s">
        <v>126</v>
      </c>
      <c r="F645" t="s">
        <v>31</v>
      </c>
      <c r="G645">
        <v>2</v>
      </c>
      <c r="H645" s="3">
        <v>7.95</v>
      </c>
      <c r="I645" s="3">
        <v>15.9</v>
      </c>
      <c r="J645" t="s">
        <v>32</v>
      </c>
      <c r="K645">
        <v>18</v>
      </c>
      <c r="L645">
        <v>18</v>
      </c>
      <c r="M645" t="s">
        <v>19</v>
      </c>
      <c r="N645">
        <f t="shared" si="20"/>
        <v>15.9</v>
      </c>
      <c r="O645" t="b">
        <f t="shared" si="21"/>
        <v>1</v>
      </c>
    </row>
    <row r="646" spans="1:15">
      <c r="A646" t="s">
        <v>821</v>
      </c>
      <c r="B646" s="2">
        <v>46263</v>
      </c>
      <c r="C646" t="s">
        <v>52</v>
      </c>
      <c r="D646" t="s">
        <v>35</v>
      </c>
      <c r="E646" t="s">
        <v>93</v>
      </c>
      <c r="F646" t="s">
        <v>31</v>
      </c>
      <c r="G646">
        <v>1</v>
      </c>
      <c r="H646" s="3">
        <v>6.25</v>
      </c>
      <c r="I646" s="3">
        <v>6.25</v>
      </c>
      <c r="J646" t="s">
        <v>18</v>
      </c>
      <c r="K646">
        <v>30</v>
      </c>
      <c r="L646">
        <v>19</v>
      </c>
      <c r="M646" t="s">
        <v>19</v>
      </c>
      <c r="N646">
        <f t="shared" si="20"/>
        <v>6.25</v>
      </c>
      <c r="O646" t="b">
        <f t="shared" si="21"/>
        <v>1</v>
      </c>
    </row>
    <row r="647" spans="1:15">
      <c r="A647" t="s">
        <v>822</v>
      </c>
      <c r="B647" s="2">
        <v>46178</v>
      </c>
      <c r="C647" t="s">
        <v>189</v>
      </c>
      <c r="D647" t="s">
        <v>35</v>
      </c>
      <c r="E647" t="s">
        <v>83</v>
      </c>
      <c r="F647" t="s">
        <v>17</v>
      </c>
      <c r="G647">
        <v>2</v>
      </c>
      <c r="H647" s="3">
        <v>13.5</v>
      </c>
      <c r="I647" s="3">
        <v>27</v>
      </c>
      <c r="J647" t="s">
        <v>18</v>
      </c>
      <c r="K647">
        <v>6</v>
      </c>
      <c r="L647">
        <v>21</v>
      </c>
      <c r="M647" t="s">
        <v>19</v>
      </c>
      <c r="N647">
        <f t="shared" si="20"/>
        <v>27</v>
      </c>
      <c r="O647" t="b">
        <f t="shared" si="21"/>
        <v>1</v>
      </c>
    </row>
    <row r="648" spans="1:15">
      <c r="A648" t="s">
        <v>823</v>
      </c>
      <c r="B648" s="2">
        <v>46172</v>
      </c>
      <c r="C648" t="s">
        <v>191</v>
      </c>
      <c r="D648" t="s">
        <v>35</v>
      </c>
      <c r="E648" t="s">
        <v>126</v>
      </c>
      <c r="F648" t="s">
        <v>31</v>
      </c>
      <c r="G648">
        <v>1</v>
      </c>
      <c r="H648" s="3">
        <v>7.95</v>
      </c>
      <c r="I648" s="3">
        <v>7.95</v>
      </c>
      <c r="J648" t="s">
        <v>27</v>
      </c>
      <c r="K648">
        <v>9</v>
      </c>
      <c r="L648">
        <v>8</v>
      </c>
      <c r="M648" t="s">
        <v>19</v>
      </c>
      <c r="N648">
        <f t="shared" si="20"/>
        <v>7.95</v>
      </c>
      <c r="O648" t="b">
        <f t="shared" si="21"/>
        <v>1</v>
      </c>
    </row>
    <row r="649" spans="1:15">
      <c r="A649" t="s">
        <v>824</v>
      </c>
      <c r="B649" s="2">
        <v>46166</v>
      </c>
      <c r="C649" t="s">
        <v>248</v>
      </c>
      <c r="D649" t="s">
        <v>15</v>
      </c>
      <c r="E649" t="s">
        <v>59</v>
      </c>
      <c r="F649" t="s">
        <v>17</v>
      </c>
      <c r="G649">
        <v>2</v>
      </c>
      <c r="H649" s="3">
        <v>11.95</v>
      </c>
      <c r="I649" s="3">
        <v>23.9</v>
      </c>
      <c r="J649" t="s">
        <v>27</v>
      </c>
      <c r="K649">
        <v>24</v>
      </c>
      <c r="L649">
        <v>15</v>
      </c>
      <c r="M649" t="s">
        <v>19</v>
      </c>
      <c r="N649">
        <f t="shared" si="20"/>
        <v>23.9</v>
      </c>
      <c r="O649" t="b">
        <f t="shared" si="21"/>
        <v>1</v>
      </c>
    </row>
    <row r="650" spans="1:15">
      <c r="A650" t="s">
        <v>825</v>
      </c>
      <c r="B650" s="2">
        <v>46251</v>
      </c>
      <c r="C650" t="s">
        <v>38</v>
      </c>
      <c r="D650" t="s">
        <v>15</v>
      </c>
      <c r="E650" t="s">
        <v>16</v>
      </c>
      <c r="F650" t="s">
        <v>17</v>
      </c>
      <c r="G650">
        <v>1</v>
      </c>
      <c r="H650" s="3">
        <v>9.9499999999999993</v>
      </c>
      <c r="I650" s="3">
        <v>9.9499999999999993</v>
      </c>
      <c r="J650" t="s">
        <v>53</v>
      </c>
      <c r="K650">
        <v>3</v>
      </c>
      <c r="L650">
        <v>19</v>
      </c>
      <c r="M650" t="s">
        <v>19</v>
      </c>
      <c r="N650">
        <f t="shared" si="20"/>
        <v>9.9499999999999993</v>
      </c>
      <c r="O650" t="b">
        <f t="shared" si="21"/>
        <v>1</v>
      </c>
    </row>
    <row r="651" spans="1:15">
      <c r="A651" t="s">
        <v>826</v>
      </c>
      <c r="B651" s="2">
        <v>46101</v>
      </c>
      <c r="C651" t="s">
        <v>212</v>
      </c>
      <c r="D651" t="s">
        <v>35</v>
      </c>
      <c r="E651" t="s">
        <v>16</v>
      </c>
      <c r="F651" t="s">
        <v>17</v>
      </c>
      <c r="G651">
        <v>2</v>
      </c>
      <c r="H651" s="3">
        <v>9.9499999999999993</v>
      </c>
      <c r="I651" s="3">
        <v>19.899999999999999</v>
      </c>
      <c r="J651" t="s">
        <v>27</v>
      </c>
      <c r="K651">
        <v>21</v>
      </c>
      <c r="L651">
        <v>15</v>
      </c>
      <c r="M651" t="s">
        <v>19</v>
      </c>
      <c r="N651">
        <f t="shared" si="20"/>
        <v>19.899999999999999</v>
      </c>
      <c r="O651" t="b">
        <f t="shared" si="21"/>
        <v>1</v>
      </c>
    </row>
    <row r="652" spans="1:15">
      <c r="A652" t="s">
        <v>827</v>
      </c>
      <c r="B652" s="2">
        <v>46199</v>
      </c>
      <c r="C652" t="s">
        <v>80</v>
      </c>
      <c r="D652" t="s">
        <v>15</v>
      </c>
      <c r="E652" t="s">
        <v>83</v>
      </c>
      <c r="F652" t="s">
        <v>17</v>
      </c>
      <c r="G652">
        <v>1</v>
      </c>
      <c r="H652" s="3">
        <v>13.5</v>
      </c>
      <c r="I652" s="3">
        <v>13.5</v>
      </c>
      <c r="J652" t="s">
        <v>53</v>
      </c>
      <c r="K652">
        <v>25</v>
      </c>
      <c r="L652">
        <v>9</v>
      </c>
      <c r="M652" t="s">
        <v>19</v>
      </c>
      <c r="N652">
        <f t="shared" si="20"/>
        <v>13.5</v>
      </c>
      <c r="O652" t="b">
        <f t="shared" si="21"/>
        <v>1</v>
      </c>
    </row>
    <row r="653" spans="1:15">
      <c r="A653" t="s">
        <v>828</v>
      </c>
      <c r="B653" s="2">
        <v>46142</v>
      </c>
      <c r="C653" t="s">
        <v>385</v>
      </c>
      <c r="D653" t="s">
        <v>15</v>
      </c>
      <c r="E653" t="s">
        <v>41</v>
      </c>
      <c r="F653" t="s">
        <v>31</v>
      </c>
      <c r="G653">
        <v>1</v>
      </c>
      <c r="H653" s="3">
        <v>5.5</v>
      </c>
      <c r="I653" s="3">
        <v>5.5</v>
      </c>
      <c r="J653" t="s">
        <v>27</v>
      </c>
      <c r="K653">
        <v>1</v>
      </c>
      <c r="L653">
        <v>17</v>
      </c>
      <c r="M653" t="s">
        <v>19</v>
      </c>
      <c r="N653">
        <f t="shared" si="20"/>
        <v>5.5</v>
      </c>
      <c r="O653" t="b">
        <f t="shared" si="21"/>
        <v>1</v>
      </c>
    </row>
    <row r="654" spans="1:15">
      <c r="A654" t="s">
        <v>829</v>
      </c>
      <c r="B654" s="2">
        <v>46252</v>
      </c>
      <c r="C654" t="s">
        <v>102</v>
      </c>
      <c r="D654" t="s">
        <v>35</v>
      </c>
      <c r="E654" t="s">
        <v>83</v>
      </c>
      <c r="F654" t="s">
        <v>17</v>
      </c>
      <c r="G654">
        <v>1</v>
      </c>
      <c r="H654" s="3">
        <v>13.5</v>
      </c>
      <c r="I654" s="3">
        <v>13.5</v>
      </c>
      <c r="J654" t="s">
        <v>18</v>
      </c>
      <c r="K654">
        <v>14</v>
      </c>
      <c r="L654">
        <v>10</v>
      </c>
      <c r="M654" t="s">
        <v>19</v>
      </c>
      <c r="N654">
        <f t="shared" si="20"/>
        <v>13.5</v>
      </c>
      <c r="O654" t="b">
        <f t="shared" si="21"/>
        <v>1</v>
      </c>
    </row>
    <row r="655" spans="1:15">
      <c r="A655" t="s">
        <v>830</v>
      </c>
      <c r="B655" s="2">
        <v>46162</v>
      </c>
      <c r="C655" t="s">
        <v>80</v>
      </c>
      <c r="D655" t="s">
        <v>15</v>
      </c>
      <c r="E655" t="s">
        <v>41</v>
      </c>
      <c r="F655" t="s">
        <v>31</v>
      </c>
      <c r="G655">
        <v>2</v>
      </c>
      <c r="H655" s="3">
        <v>5.5</v>
      </c>
      <c r="I655" s="3">
        <v>11</v>
      </c>
      <c r="J655" t="s">
        <v>32</v>
      </c>
      <c r="K655">
        <v>15</v>
      </c>
      <c r="L655">
        <v>5</v>
      </c>
      <c r="M655" t="s">
        <v>19</v>
      </c>
      <c r="N655">
        <f t="shared" si="20"/>
        <v>11</v>
      </c>
      <c r="O655" t="b">
        <f t="shared" si="21"/>
        <v>1</v>
      </c>
    </row>
    <row r="656" spans="1:15">
      <c r="A656" t="s">
        <v>831</v>
      </c>
      <c r="B656" s="2">
        <v>46146</v>
      </c>
      <c r="C656" t="s">
        <v>156</v>
      </c>
      <c r="D656" t="s">
        <v>35</v>
      </c>
      <c r="E656" t="s">
        <v>22</v>
      </c>
      <c r="F656" t="s">
        <v>23</v>
      </c>
      <c r="G656">
        <v>1</v>
      </c>
      <c r="H656" s="3">
        <v>3.1</v>
      </c>
      <c r="I656" s="3">
        <v>3.1</v>
      </c>
      <c r="J656" t="s">
        <v>18</v>
      </c>
      <c r="K656">
        <v>1</v>
      </c>
      <c r="L656">
        <v>18</v>
      </c>
      <c r="M656" t="s">
        <v>19</v>
      </c>
      <c r="N656">
        <f t="shared" si="20"/>
        <v>3.1</v>
      </c>
      <c r="O656" t="b">
        <f t="shared" si="21"/>
        <v>1</v>
      </c>
    </row>
    <row r="657" spans="1:15">
      <c r="A657" t="s">
        <v>832</v>
      </c>
      <c r="B657" s="2">
        <v>46057</v>
      </c>
      <c r="C657" t="s">
        <v>178</v>
      </c>
      <c r="D657" t="s">
        <v>15</v>
      </c>
      <c r="E657" t="s">
        <v>59</v>
      </c>
      <c r="F657" t="s">
        <v>17</v>
      </c>
      <c r="G657">
        <v>2</v>
      </c>
      <c r="H657" s="3">
        <v>11.95</v>
      </c>
      <c r="I657" s="3">
        <v>23.9</v>
      </c>
      <c r="J657" t="s">
        <v>18</v>
      </c>
      <c r="K657">
        <v>8</v>
      </c>
      <c r="L657">
        <v>15</v>
      </c>
      <c r="M657" t="s">
        <v>19</v>
      </c>
      <c r="N657">
        <f t="shared" si="20"/>
        <v>23.9</v>
      </c>
      <c r="O657" t="b">
        <f t="shared" si="21"/>
        <v>1</v>
      </c>
    </row>
    <row r="658" spans="1:15">
      <c r="A658" t="s">
        <v>833</v>
      </c>
      <c r="B658" s="2">
        <v>46151</v>
      </c>
      <c r="C658" t="s">
        <v>391</v>
      </c>
      <c r="D658" t="s">
        <v>15</v>
      </c>
      <c r="E658" t="s">
        <v>39</v>
      </c>
      <c r="F658" t="s">
        <v>17</v>
      </c>
      <c r="G658">
        <v>1</v>
      </c>
      <c r="H658" s="3">
        <v>12.95</v>
      </c>
      <c r="I658" s="3">
        <v>12.95</v>
      </c>
      <c r="J658" t="s">
        <v>18</v>
      </c>
      <c r="K658">
        <v>20</v>
      </c>
      <c r="L658">
        <v>9</v>
      </c>
      <c r="M658" t="s">
        <v>19</v>
      </c>
      <c r="N658">
        <f t="shared" si="20"/>
        <v>12.95</v>
      </c>
      <c r="O658" t="b">
        <f t="shared" si="21"/>
        <v>1</v>
      </c>
    </row>
    <row r="659" spans="1:15">
      <c r="A659" t="s">
        <v>834</v>
      </c>
      <c r="B659" s="2">
        <v>46084</v>
      </c>
      <c r="C659" t="s">
        <v>239</v>
      </c>
      <c r="D659" t="s">
        <v>15</v>
      </c>
      <c r="E659" t="s">
        <v>46</v>
      </c>
      <c r="F659" t="s">
        <v>47</v>
      </c>
      <c r="G659">
        <v>2</v>
      </c>
      <c r="H659" s="3">
        <v>6.95</v>
      </c>
      <c r="I659" s="3">
        <v>13.9</v>
      </c>
      <c r="J659" t="s">
        <v>32</v>
      </c>
      <c r="K659">
        <v>19</v>
      </c>
      <c r="L659">
        <v>6</v>
      </c>
      <c r="M659" t="s">
        <v>19</v>
      </c>
      <c r="N659">
        <f t="shared" si="20"/>
        <v>13.9</v>
      </c>
      <c r="O659" t="b">
        <f t="shared" si="21"/>
        <v>1</v>
      </c>
    </row>
    <row r="660" spans="1:15">
      <c r="A660" t="s">
        <v>835</v>
      </c>
      <c r="B660" s="2">
        <v>46117</v>
      </c>
      <c r="C660" t="s">
        <v>112</v>
      </c>
      <c r="D660" t="s">
        <v>35</v>
      </c>
      <c r="E660" t="s">
        <v>41</v>
      </c>
      <c r="F660" t="s">
        <v>31</v>
      </c>
      <c r="G660">
        <v>1</v>
      </c>
      <c r="H660" s="3">
        <v>5.5</v>
      </c>
      <c r="I660" s="3">
        <v>5.5</v>
      </c>
      <c r="J660" t="s">
        <v>53</v>
      </c>
      <c r="K660">
        <v>30</v>
      </c>
      <c r="L660">
        <v>27</v>
      </c>
      <c r="M660" t="s">
        <v>19</v>
      </c>
      <c r="N660">
        <f t="shared" si="20"/>
        <v>5.5</v>
      </c>
      <c r="O660" t="b">
        <f t="shared" si="21"/>
        <v>1</v>
      </c>
    </row>
    <row r="661" spans="1:15">
      <c r="A661" t="s">
        <v>836</v>
      </c>
      <c r="B661" s="2">
        <v>46241</v>
      </c>
      <c r="C661" t="s">
        <v>271</v>
      </c>
      <c r="D661" t="s">
        <v>35</v>
      </c>
      <c r="E661" t="s">
        <v>41</v>
      </c>
      <c r="F661" t="s">
        <v>31</v>
      </c>
      <c r="G661">
        <v>1</v>
      </c>
      <c r="H661" s="3">
        <v>5.5</v>
      </c>
      <c r="I661" s="3">
        <v>5.5</v>
      </c>
      <c r="J661" t="s">
        <v>32</v>
      </c>
      <c r="K661">
        <v>9</v>
      </c>
      <c r="L661">
        <v>16</v>
      </c>
      <c r="M661" t="s">
        <v>19</v>
      </c>
      <c r="N661">
        <f t="shared" si="20"/>
        <v>5.5</v>
      </c>
      <c r="O661" t="b">
        <f t="shared" si="21"/>
        <v>1</v>
      </c>
    </row>
    <row r="662" spans="1:15">
      <c r="A662" t="s">
        <v>837</v>
      </c>
      <c r="B662" s="2">
        <v>46218</v>
      </c>
      <c r="C662" t="s">
        <v>431</v>
      </c>
      <c r="D662" t="s">
        <v>35</v>
      </c>
      <c r="E662" t="s">
        <v>41</v>
      </c>
      <c r="F662" t="s">
        <v>31</v>
      </c>
      <c r="G662">
        <v>1</v>
      </c>
      <c r="H662" s="3">
        <v>5.5</v>
      </c>
      <c r="I662" s="3">
        <v>5.5</v>
      </c>
      <c r="J662" t="s">
        <v>18</v>
      </c>
      <c r="K662">
        <v>20</v>
      </c>
      <c r="L662">
        <v>6</v>
      </c>
      <c r="M662" t="s">
        <v>19</v>
      </c>
      <c r="N662">
        <f t="shared" si="20"/>
        <v>5.5</v>
      </c>
      <c r="O662" t="b">
        <f t="shared" si="21"/>
        <v>1</v>
      </c>
    </row>
    <row r="663" spans="1:15">
      <c r="A663" t="s">
        <v>838</v>
      </c>
      <c r="B663" s="2">
        <v>46274</v>
      </c>
      <c r="C663" t="s">
        <v>220</v>
      </c>
      <c r="D663" t="s">
        <v>15</v>
      </c>
      <c r="E663" t="s">
        <v>70</v>
      </c>
      <c r="F663" t="s">
        <v>17</v>
      </c>
      <c r="G663">
        <v>2</v>
      </c>
      <c r="H663" s="3">
        <v>12.5</v>
      </c>
      <c r="I663" s="3">
        <v>25</v>
      </c>
      <c r="J663" t="s">
        <v>18</v>
      </c>
      <c r="K663">
        <v>30</v>
      </c>
      <c r="L663">
        <v>16</v>
      </c>
      <c r="M663" t="s">
        <v>19</v>
      </c>
      <c r="N663">
        <f t="shared" si="20"/>
        <v>25</v>
      </c>
      <c r="O663" t="b">
        <f t="shared" si="21"/>
        <v>1</v>
      </c>
    </row>
    <row r="664" spans="1:15">
      <c r="A664" t="s">
        <v>839</v>
      </c>
      <c r="B664" s="2">
        <v>46155</v>
      </c>
      <c r="C664" t="s">
        <v>322</v>
      </c>
      <c r="D664" t="s">
        <v>15</v>
      </c>
      <c r="E664" t="s">
        <v>121</v>
      </c>
      <c r="F664" t="s">
        <v>23</v>
      </c>
      <c r="G664">
        <v>2</v>
      </c>
      <c r="H664" s="3">
        <v>6.5</v>
      </c>
      <c r="I664" s="3">
        <v>-13</v>
      </c>
      <c r="J664" t="s">
        <v>18</v>
      </c>
      <c r="K664">
        <v>5</v>
      </c>
      <c r="L664">
        <v>2</v>
      </c>
      <c r="M664" t="s">
        <v>62</v>
      </c>
      <c r="N664">
        <f t="shared" si="20"/>
        <v>13</v>
      </c>
      <c r="O664" t="b">
        <f t="shared" si="21"/>
        <v>1</v>
      </c>
    </row>
    <row r="665" spans="1:15">
      <c r="A665" t="s">
        <v>840</v>
      </c>
      <c r="B665" s="2">
        <v>46023</v>
      </c>
      <c r="C665" t="s">
        <v>55</v>
      </c>
      <c r="D665" t="s">
        <v>35</v>
      </c>
      <c r="E665" t="s">
        <v>41</v>
      </c>
      <c r="F665" t="s">
        <v>31</v>
      </c>
      <c r="G665">
        <v>1</v>
      </c>
      <c r="H665" s="3">
        <v>5.5</v>
      </c>
      <c r="I665" s="3">
        <v>5.5</v>
      </c>
      <c r="J665" t="s">
        <v>18</v>
      </c>
      <c r="K665">
        <v>29</v>
      </c>
      <c r="L665">
        <v>24</v>
      </c>
      <c r="M665" t="s">
        <v>19</v>
      </c>
      <c r="N665">
        <f t="shared" si="20"/>
        <v>5.5</v>
      </c>
      <c r="O665" t="b">
        <f t="shared" si="21"/>
        <v>1</v>
      </c>
    </row>
    <row r="666" spans="1:15">
      <c r="A666" t="s">
        <v>841</v>
      </c>
      <c r="B666" s="2">
        <v>46024</v>
      </c>
      <c r="C666" t="s">
        <v>171</v>
      </c>
      <c r="D666" t="s">
        <v>35</v>
      </c>
      <c r="E666" t="s">
        <v>78</v>
      </c>
      <c r="F666" t="s">
        <v>47</v>
      </c>
      <c r="G666">
        <v>1</v>
      </c>
      <c r="H666" s="3">
        <v>7.25</v>
      </c>
      <c r="I666" s="3">
        <v>7.25</v>
      </c>
      <c r="J666" t="s">
        <v>27</v>
      </c>
      <c r="K666">
        <v>18</v>
      </c>
      <c r="L666">
        <v>22</v>
      </c>
      <c r="M666" t="s">
        <v>19</v>
      </c>
      <c r="N666">
        <f t="shared" si="20"/>
        <v>7.25</v>
      </c>
      <c r="O666" t="b">
        <f t="shared" si="21"/>
        <v>1</v>
      </c>
    </row>
    <row r="667" spans="1:15">
      <c r="A667" t="s">
        <v>842</v>
      </c>
      <c r="B667" s="2">
        <v>46219</v>
      </c>
      <c r="C667" t="s">
        <v>34</v>
      </c>
      <c r="D667" t="s">
        <v>35</v>
      </c>
      <c r="E667" t="s">
        <v>121</v>
      </c>
      <c r="F667" t="s">
        <v>23</v>
      </c>
      <c r="G667">
        <v>1</v>
      </c>
      <c r="H667" s="3">
        <v>6.5</v>
      </c>
      <c r="I667" s="3">
        <v>6.5</v>
      </c>
      <c r="J667" t="s">
        <v>18</v>
      </c>
      <c r="K667">
        <v>11</v>
      </c>
      <c r="L667">
        <v>2</v>
      </c>
      <c r="M667" t="s">
        <v>19</v>
      </c>
      <c r="N667">
        <f t="shared" si="20"/>
        <v>6.5</v>
      </c>
      <c r="O667" t="b">
        <f t="shared" si="21"/>
        <v>1</v>
      </c>
    </row>
    <row r="668" spans="1:15">
      <c r="A668" t="s">
        <v>843</v>
      </c>
      <c r="B668" s="2">
        <v>46228</v>
      </c>
      <c r="C668" t="s">
        <v>45</v>
      </c>
      <c r="D668" t="s">
        <v>15</v>
      </c>
      <c r="E668" t="s">
        <v>36</v>
      </c>
      <c r="F668" t="s">
        <v>23</v>
      </c>
      <c r="G668">
        <v>2</v>
      </c>
      <c r="H668" s="3">
        <v>2.8</v>
      </c>
      <c r="I668" s="3">
        <v>5.6</v>
      </c>
      <c r="J668" t="s">
        <v>27</v>
      </c>
      <c r="K668">
        <v>25</v>
      </c>
      <c r="L668">
        <v>14</v>
      </c>
      <c r="M668" t="s">
        <v>19</v>
      </c>
      <c r="N668">
        <f t="shared" si="20"/>
        <v>5.6</v>
      </c>
      <c r="O668" t="b">
        <f t="shared" si="21"/>
        <v>1</v>
      </c>
    </row>
    <row r="669" spans="1:15">
      <c r="A669" t="s">
        <v>844</v>
      </c>
      <c r="B669" s="2">
        <v>46126</v>
      </c>
      <c r="C669" t="s">
        <v>352</v>
      </c>
      <c r="D669" t="s">
        <v>15</v>
      </c>
      <c r="E669" t="s">
        <v>70</v>
      </c>
      <c r="F669" t="s">
        <v>17</v>
      </c>
      <c r="G669">
        <v>1</v>
      </c>
      <c r="H669" s="3">
        <v>12.5</v>
      </c>
      <c r="I669" s="3">
        <v>12.5</v>
      </c>
      <c r="J669" t="s">
        <v>27</v>
      </c>
      <c r="K669">
        <v>29</v>
      </c>
      <c r="L669">
        <v>19</v>
      </c>
      <c r="M669" t="s">
        <v>19</v>
      </c>
      <c r="N669">
        <f t="shared" si="20"/>
        <v>12.5</v>
      </c>
      <c r="O669" t="b">
        <f t="shared" si="21"/>
        <v>1</v>
      </c>
    </row>
    <row r="670" spans="1:15">
      <c r="A670" t="s">
        <v>845</v>
      </c>
      <c r="B670" s="2">
        <v>46206</v>
      </c>
      <c r="C670" t="s">
        <v>49</v>
      </c>
      <c r="D670" t="s">
        <v>35</v>
      </c>
      <c r="E670" t="s">
        <v>70</v>
      </c>
      <c r="F670" t="s">
        <v>17</v>
      </c>
      <c r="G670">
        <v>1</v>
      </c>
      <c r="H670" s="3">
        <v>12.5</v>
      </c>
      <c r="I670" s="3">
        <v>12.5</v>
      </c>
      <c r="J670" t="s">
        <v>18</v>
      </c>
      <c r="K670">
        <v>8</v>
      </c>
      <c r="L670">
        <v>39</v>
      </c>
      <c r="M670" t="s">
        <v>19</v>
      </c>
      <c r="N670">
        <f t="shared" si="20"/>
        <v>12.5</v>
      </c>
      <c r="O670" t="b">
        <f t="shared" si="21"/>
        <v>1</v>
      </c>
    </row>
    <row r="671" spans="1:15">
      <c r="A671" t="s">
        <v>846</v>
      </c>
      <c r="B671" s="2">
        <v>46055</v>
      </c>
      <c r="C671" t="s">
        <v>105</v>
      </c>
      <c r="D671" t="s">
        <v>35</v>
      </c>
      <c r="E671" t="s">
        <v>103</v>
      </c>
      <c r="F671" t="s">
        <v>23</v>
      </c>
      <c r="G671">
        <v>1</v>
      </c>
      <c r="H671" s="3">
        <v>3.25</v>
      </c>
      <c r="I671" s="3">
        <v>3.25</v>
      </c>
      <c r="J671" t="s">
        <v>27</v>
      </c>
      <c r="K671">
        <v>1</v>
      </c>
      <c r="L671">
        <v>16</v>
      </c>
      <c r="M671" t="s">
        <v>19</v>
      </c>
      <c r="N671">
        <f t="shared" si="20"/>
        <v>3.25</v>
      </c>
      <c r="O671" t="b">
        <f t="shared" si="21"/>
        <v>1</v>
      </c>
    </row>
    <row r="672" spans="1:15">
      <c r="A672" t="s">
        <v>847</v>
      </c>
      <c r="B672" s="2">
        <v>46051</v>
      </c>
      <c r="C672" t="s">
        <v>352</v>
      </c>
      <c r="D672" t="s">
        <v>15</v>
      </c>
      <c r="E672" t="s">
        <v>59</v>
      </c>
      <c r="F672" t="s">
        <v>17</v>
      </c>
      <c r="G672">
        <v>1</v>
      </c>
      <c r="H672" s="3">
        <v>11.95</v>
      </c>
      <c r="I672" s="3">
        <v>11.95</v>
      </c>
      <c r="J672" t="s">
        <v>53</v>
      </c>
      <c r="K672">
        <v>22</v>
      </c>
      <c r="L672">
        <v>12</v>
      </c>
      <c r="M672" t="s">
        <v>19</v>
      </c>
      <c r="N672">
        <f t="shared" si="20"/>
        <v>11.95</v>
      </c>
      <c r="O672" t="b">
        <f t="shared" si="21"/>
        <v>1</v>
      </c>
    </row>
    <row r="673" spans="1:15">
      <c r="A673" t="s">
        <v>848</v>
      </c>
      <c r="B673" s="2">
        <v>46099</v>
      </c>
      <c r="C673" t="s">
        <v>169</v>
      </c>
      <c r="D673" t="s">
        <v>35</v>
      </c>
      <c r="E673" t="s">
        <v>83</v>
      </c>
      <c r="F673" t="s">
        <v>17</v>
      </c>
      <c r="G673">
        <v>2</v>
      </c>
      <c r="H673" s="3">
        <v>13.5</v>
      </c>
      <c r="I673" s="3">
        <v>27</v>
      </c>
      <c r="J673" t="s">
        <v>27</v>
      </c>
      <c r="K673">
        <v>21</v>
      </c>
      <c r="L673">
        <v>14</v>
      </c>
      <c r="M673" t="s">
        <v>19</v>
      </c>
      <c r="N673">
        <f t="shared" si="20"/>
        <v>27</v>
      </c>
      <c r="O673" t="b">
        <f t="shared" si="21"/>
        <v>1</v>
      </c>
    </row>
    <row r="674" spans="1:15">
      <c r="A674" t="s">
        <v>849</v>
      </c>
      <c r="B674" s="2">
        <v>46046</v>
      </c>
      <c r="C674" t="s">
        <v>355</v>
      </c>
      <c r="D674" t="s">
        <v>15</v>
      </c>
      <c r="E674" t="s">
        <v>106</v>
      </c>
      <c r="F674" t="s">
        <v>17</v>
      </c>
      <c r="G674">
        <v>2</v>
      </c>
      <c r="H674" s="3">
        <v>15.95</v>
      </c>
      <c r="I674" s="3">
        <v>31.9</v>
      </c>
      <c r="J674" t="s">
        <v>27</v>
      </c>
      <c r="K674">
        <v>20</v>
      </c>
      <c r="L674">
        <v>17</v>
      </c>
      <c r="M674" t="s">
        <v>19</v>
      </c>
      <c r="N674">
        <f t="shared" si="20"/>
        <v>31.9</v>
      </c>
      <c r="O674" t="b">
        <f t="shared" si="21"/>
        <v>1</v>
      </c>
    </row>
    <row r="675" spans="1:15">
      <c r="A675" t="s">
        <v>850</v>
      </c>
      <c r="B675" s="2">
        <v>46055</v>
      </c>
      <c r="C675" t="s">
        <v>265</v>
      </c>
      <c r="D675" t="s">
        <v>35</v>
      </c>
      <c r="E675" t="s">
        <v>103</v>
      </c>
      <c r="F675" t="s">
        <v>23</v>
      </c>
      <c r="G675">
        <v>2</v>
      </c>
      <c r="H675" s="3">
        <v>3.25</v>
      </c>
      <c r="I675" s="3">
        <v>6.5</v>
      </c>
      <c r="J675" t="s">
        <v>27</v>
      </c>
      <c r="K675">
        <v>8</v>
      </c>
      <c r="L675">
        <v>10</v>
      </c>
      <c r="M675" t="s">
        <v>19</v>
      </c>
      <c r="N675">
        <f t="shared" si="20"/>
        <v>6.5</v>
      </c>
      <c r="O675" t="b">
        <f t="shared" si="21"/>
        <v>1</v>
      </c>
    </row>
    <row r="676" spans="1:15">
      <c r="A676" t="s">
        <v>851</v>
      </c>
      <c r="B676" s="2">
        <v>46126</v>
      </c>
      <c r="C676" t="s">
        <v>230</v>
      </c>
      <c r="D676" t="s">
        <v>35</v>
      </c>
      <c r="E676" t="s">
        <v>46</v>
      </c>
      <c r="F676" t="s">
        <v>47</v>
      </c>
      <c r="G676">
        <v>1</v>
      </c>
      <c r="H676" s="3">
        <v>6.95</v>
      </c>
      <c r="I676" s="3">
        <v>6.95</v>
      </c>
      <c r="J676" t="s">
        <v>53</v>
      </c>
      <c r="K676">
        <v>27</v>
      </c>
      <c r="L676">
        <v>17</v>
      </c>
      <c r="M676" t="s">
        <v>19</v>
      </c>
      <c r="N676">
        <f t="shared" si="20"/>
        <v>6.95</v>
      </c>
      <c r="O676" t="b">
        <f t="shared" si="21"/>
        <v>1</v>
      </c>
    </row>
    <row r="677" spans="1:15">
      <c r="A677" t="s">
        <v>852</v>
      </c>
      <c r="B677" s="2">
        <v>46132</v>
      </c>
      <c r="C677" t="s">
        <v>89</v>
      </c>
      <c r="D677" t="s">
        <v>35</v>
      </c>
      <c r="E677" t="s">
        <v>93</v>
      </c>
      <c r="F677" t="s">
        <v>31</v>
      </c>
      <c r="G677">
        <v>1</v>
      </c>
      <c r="H677" s="3">
        <v>6.25</v>
      </c>
      <c r="I677" s="3">
        <v>6.25</v>
      </c>
      <c r="J677" t="s">
        <v>32</v>
      </c>
      <c r="K677">
        <v>5</v>
      </c>
      <c r="L677">
        <v>18</v>
      </c>
      <c r="M677" t="s">
        <v>19</v>
      </c>
      <c r="N677">
        <f t="shared" si="20"/>
        <v>6.25</v>
      </c>
      <c r="O677" t="b">
        <f t="shared" si="21"/>
        <v>1</v>
      </c>
    </row>
    <row r="678" spans="1:15">
      <c r="A678" t="s">
        <v>853</v>
      </c>
      <c r="B678" s="2">
        <v>46109</v>
      </c>
      <c r="C678" t="s">
        <v>89</v>
      </c>
      <c r="D678" t="s">
        <v>35</v>
      </c>
      <c r="E678" t="s">
        <v>96</v>
      </c>
      <c r="F678" t="s">
        <v>47</v>
      </c>
      <c r="G678">
        <v>1</v>
      </c>
      <c r="H678" s="3">
        <v>5.75</v>
      </c>
      <c r="I678" s="3">
        <v>5.75</v>
      </c>
      <c r="J678" t="s">
        <v>18</v>
      </c>
      <c r="K678">
        <v>28</v>
      </c>
      <c r="L678">
        <v>22</v>
      </c>
      <c r="M678" t="s">
        <v>19</v>
      </c>
      <c r="N678">
        <f t="shared" si="20"/>
        <v>5.75</v>
      </c>
      <c r="O678" t="b">
        <f t="shared" si="21"/>
        <v>1</v>
      </c>
    </row>
    <row r="679" spans="1:15">
      <c r="A679" t="s">
        <v>854</v>
      </c>
      <c r="B679" s="2">
        <v>46215</v>
      </c>
      <c r="C679" t="s">
        <v>381</v>
      </c>
      <c r="D679" t="s">
        <v>35</v>
      </c>
      <c r="E679" t="s">
        <v>39</v>
      </c>
      <c r="F679" t="s">
        <v>17</v>
      </c>
      <c r="G679">
        <v>1</v>
      </c>
      <c r="H679" s="3">
        <v>12.95</v>
      </c>
      <c r="I679" s="3">
        <v>12.95</v>
      </c>
      <c r="J679" t="s">
        <v>27</v>
      </c>
      <c r="K679">
        <v>30</v>
      </c>
      <c r="L679">
        <v>20</v>
      </c>
      <c r="M679" t="s">
        <v>19</v>
      </c>
      <c r="N679">
        <f t="shared" si="20"/>
        <v>12.95</v>
      </c>
      <c r="O679" t="b">
        <f t="shared" si="21"/>
        <v>1</v>
      </c>
    </row>
    <row r="680" spans="1:15">
      <c r="A680" t="s">
        <v>855</v>
      </c>
      <c r="B680" s="2">
        <v>46168</v>
      </c>
      <c r="C680" t="s">
        <v>506</v>
      </c>
      <c r="D680" t="s">
        <v>35</v>
      </c>
      <c r="E680" t="s">
        <v>50</v>
      </c>
      <c r="F680" t="s">
        <v>17</v>
      </c>
      <c r="G680">
        <v>1</v>
      </c>
      <c r="H680" s="3">
        <v>14.5</v>
      </c>
      <c r="I680" s="3">
        <v>14.5</v>
      </c>
      <c r="J680" t="s">
        <v>53</v>
      </c>
      <c r="K680">
        <v>8</v>
      </c>
      <c r="L680">
        <v>19</v>
      </c>
      <c r="M680" t="s">
        <v>19</v>
      </c>
      <c r="N680">
        <f t="shared" si="20"/>
        <v>14.5</v>
      </c>
      <c r="O680" t="b">
        <f t="shared" si="21"/>
        <v>1</v>
      </c>
    </row>
    <row r="681" spans="1:15">
      <c r="A681" t="s">
        <v>856</v>
      </c>
      <c r="B681" s="2">
        <v>46042</v>
      </c>
      <c r="C681" t="s">
        <v>49</v>
      </c>
      <c r="D681" t="s">
        <v>35</v>
      </c>
      <c r="E681" t="s">
        <v>56</v>
      </c>
      <c r="F681" t="s">
        <v>23</v>
      </c>
      <c r="G681">
        <v>3</v>
      </c>
      <c r="H681" s="3">
        <v>3.75</v>
      </c>
      <c r="I681" s="3">
        <v>11.25</v>
      </c>
      <c r="J681" t="s">
        <v>32</v>
      </c>
      <c r="K681">
        <v>27</v>
      </c>
      <c r="L681">
        <v>19</v>
      </c>
      <c r="M681" t="s">
        <v>19</v>
      </c>
      <c r="N681">
        <f t="shared" si="20"/>
        <v>11.25</v>
      </c>
      <c r="O681" t="b">
        <f t="shared" si="21"/>
        <v>1</v>
      </c>
    </row>
    <row r="682" spans="1:15">
      <c r="A682" t="s">
        <v>857</v>
      </c>
      <c r="B682" s="2">
        <v>46201</v>
      </c>
      <c r="C682" t="s">
        <v>156</v>
      </c>
      <c r="D682" t="s">
        <v>35</v>
      </c>
      <c r="E682" t="s">
        <v>70</v>
      </c>
      <c r="F682" t="s">
        <v>17</v>
      </c>
      <c r="G682">
        <v>1</v>
      </c>
      <c r="H682" s="3">
        <v>12.5</v>
      </c>
      <c r="I682" s="3">
        <v>12.5</v>
      </c>
      <c r="J682" t="s">
        <v>32</v>
      </c>
      <c r="K682">
        <v>28</v>
      </c>
      <c r="L682">
        <v>28</v>
      </c>
      <c r="M682" t="s">
        <v>19</v>
      </c>
      <c r="N682">
        <f t="shared" si="20"/>
        <v>12.5</v>
      </c>
      <c r="O682" t="b">
        <f t="shared" si="21"/>
        <v>1</v>
      </c>
    </row>
    <row r="683" spans="1:15">
      <c r="A683" t="s">
        <v>858</v>
      </c>
      <c r="B683" s="2">
        <v>46282</v>
      </c>
      <c r="C683" t="s">
        <v>38</v>
      </c>
      <c r="D683" t="s">
        <v>15</v>
      </c>
      <c r="E683" t="s">
        <v>83</v>
      </c>
      <c r="F683" t="s">
        <v>17</v>
      </c>
      <c r="G683">
        <v>1</v>
      </c>
      <c r="H683" s="3">
        <v>13.5</v>
      </c>
      <c r="I683" s="3">
        <v>13.5</v>
      </c>
      <c r="J683" t="s">
        <v>32</v>
      </c>
      <c r="K683">
        <v>22</v>
      </c>
      <c r="L683">
        <v>14</v>
      </c>
      <c r="M683" t="s">
        <v>19</v>
      </c>
      <c r="N683">
        <f t="shared" si="20"/>
        <v>13.5</v>
      </c>
      <c r="O683" t="b">
        <f t="shared" si="21"/>
        <v>1</v>
      </c>
    </row>
    <row r="684" spans="1:15">
      <c r="A684" t="s">
        <v>859</v>
      </c>
      <c r="B684" s="2">
        <v>46265</v>
      </c>
      <c r="C684" t="s">
        <v>110</v>
      </c>
      <c r="D684" t="s">
        <v>35</v>
      </c>
      <c r="E684" t="s">
        <v>83</v>
      </c>
      <c r="F684" t="s">
        <v>17</v>
      </c>
      <c r="G684">
        <v>1</v>
      </c>
      <c r="H684" s="3">
        <v>13.5</v>
      </c>
      <c r="I684" s="3">
        <v>13.5</v>
      </c>
      <c r="J684" t="s">
        <v>18</v>
      </c>
      <c r="K684">
        <v>11</v>
      </c>
      <c r="L684">
        <v>18</v>
      </c>
      <c r="M684" t="s">
        <v>19</v>
      </c>
      <c r="N684">
        <f t="shared" si="20"/>
        <v>13.5</v>
      </c>
      <c r="O684" t="b">
        <f t="shared" si="21"/>
        <v>1</v>
      </c>
    </row>
    <row r="685" spans="1:15">
      <c r="A685" t="s">
        <v>860</v>
      </c>
      <c r="B685" s="2">
        <v>46255</v>
      </c>
      <c r="C685" t="s">
        <v>178</v>
      </c>
      <c r="D685" t="s">
        <v>15</v>
      </c>
      <c r="E685" t="s">
        <v>106</v>
      </c>
      <c r="F685" t="s">
        <v>17</v>
      </c>
      <c r="G685">
        <v>1</v>
      </c>
      <c r="H685" s="3">
        <v>15.95</v>
      </c>
      <c r="I685" s="3">
        <v>15.95</v>
      </c>
      <c r="J685" t="s">
        <v>18</v>
      </c>
      <c r="K685">
        <v>16</v>
      </c>
      <c r="L685">
        <v>22</v>
      </c>
      <c r="M685" t="s">
        <v>19</v>
      </c>
      <c r="N685">
        <f t="shared" si="20"/>
        <v>15.95</v>
      </c>
      <c r="O685" t="b">
        <f t="shared" si="21"/>
        <v>1</v>
      </c>
    </row>
    <row r="686" spans="1:15">
      <c r="A686" t="s">
        <v>861</v>
      </c>
      <c r="B686" s="2">
        <v>46059</v>
      </c>
      <c r="C686" t="s">
        <v>49</v>
      </c>
      <c r="D686" t="s">
        <v>35</v>
      </c>
      <c r="E686" t="s">
        <v>121</v>
      </c>
      <c r="F686" t="s">
        <v>23</v>
      </c>
      <c r="G686">
        <v>1</v>
      </c>
      <c r="H686" s="3">
        <v>6.5</v>
      </c>
      <c r="I686" s="3">
        <v>6.5</v>
      </c>
      <c r="J686" t="s">
        <v>27</v>
      </c>
      <c r="K686">
        <v>11</v>
      </c>
      <c r="L686">
        <v>15</v>
      </c>
      <c r="M686" t="s">
        <v>19</v>
      </c>
      <c r="N686">
        <f t="shared" si="20"/>
        <v>6.5</v>
      </c>
      <c r="O686" t="b">
        <f t="shared" si="21"/>
        <v>1</v>
      </c>
    </row>
    <row r="687" spans="1:15">
      <c r="A687" t="s">
        <v>862</v>
      </c>
      <c r="B687" s="2">
        <v>46079</v>
      </c>
      <c r="C687" t="s">
        <v>483</v>
      </c>
      <c r="D687" t="s">
        <v>15</v>
      </c>
      <c r="E687" t="s">
        <v>78</v>
      </c>
      <c r="F687" t="s">
        <v>47</v>
      </c>
      <c r="G687">
        <v>2</v>
      </c>
      <c r="H687" s="3">
        <v>7.25</v>
      </c>
      <c r="I687" s="3">
        <v>14.5</v>
      </c>
      <c r="J687" t="s">
        <v>27</v>
      </c>
      <c r="K687">
        <v>29</v>
      </c>
      <c r="L687">
        <v>24</v>
      </c>
      <c r="M687" t="s">
        <v>19</v>
      </c>
      <c r="N687">
        <f t="shared" si="20"/>
        <v>14.5</v>
      </c>
      <c r="O687" t="b">
        <f t="shared" si="21"/>
        <v>1</v>
      </c>
    </row>
    <row r="688" spans="1:15">
      <c r="A688" t="s">
        <v>863</v>
      </c>
      <c r="B688" s="2">
        <v>46264</v>
      </c>
      <c r="C688" t="s">
        <v>297</v>
      </c>
      <c r="D688" t="s">
        <v>35</v>
      </c>
      <c r="E688" t="s">
        <v>50</v>
      </c>
      <c r="F688" t="s">
        <v>17</v>
      </c>
      <c r="G688">
        <v>1</v>
      </c>
      <c r="H688" s="3">
        <v>14.5</v>
      </c>
      <c r="I688" s="3">
        <v>14.5</v>
      </c>
      <c r="J688" t="s">
        <v>18</v>
      </c>
      <c r="K688">
        <v>5</v>
      </c>
      <c r="L688">
        <v>14</v>
      </c>
      <c r="M688" t="s">
        <v>19</v>
      </c>
      <c r="N688">
        <f t="shared" si="20"/>
        <v>14.5</v>
      </c>
      <c r="O688" t="b">
        <f t="shared" si="21"/>
        <v>1</v>
      </c>
    </row>
    <row r="689" spans="1:15">
      <c r="A689" t="s">
        <v>864</v>
      </c>
      <c r="B689" s="2">
        <v>46122</v>
      </c>
      <c r="C689" t="s">
        <v>228</v>
      </c>
      <c r="D689" t="s">
        <v>35</v>
      </c>
      <c r="E689" t="s">
        <v>93</v>
      </c>
      <c r="F689" t="s">
        <v>31</v>
      </c>
      <c r="G689">
        <v>1</v>
      </c>
      <c r="H689" s="3">
        <v>6.25</v>
      </c>
      <c r="I689" s="3">
        <v>6.25</v>
      </c>
      <c r="J689" t="s">
        <v>27</v>
      </c>
      <c r="K689">
        <v>19</v>
      </c>
      <c r="L689">
        <v>21</v>
      </c>
      <c r="M689" t="s">
        <v>19</v>
      </c>
      <c r="N689">
        <f t="shared" si="20"/>
        <v>6.25</v>
      </c>
      <c r="O689" t="b">
        <f t="shared" si="21"/>
        <v>1</v>
      </c>
    </row>
    <row r="690" spans="1:15">
      <c r="A690" t="s">
        <v>865</v>
      </c>
      <c r="B690" s="2">
        <v>46092</v>
      </c>
      <c r="C690" t="s">
        <v>385</v>
      </c>
      <c r="D690" t="s">
        <v>15</v>
      </c>
      <c r="E690" t="s">
        <v>78</v>
      </c>
      <c r="F690" t="s">
        <v>47</v>
      </c>
      <c r="G690">
        <v>1</v>
      </c>
      <c r="H690" s="3">
        <v>7.25</v>
      </c>
      <c r="I690" s="3">
        <v>7.25</v>
      </c>
      <c r="J690" t="s">
        <v>32</v>
      </c>
      <c r="K690">
        <v>6</v>
      </c>
      <c r="L690">
        <v>16</v>
      </c>
      <c r="M690" t="s">
        <v>19</v>
      </c>
      <c r="N690">
        <f t="shared" si="20"/>
        <v>7.25</v>
      </c>
      <c r="O690" t="b">
        <f t="shared" si="21"/>
        <v>1</v>
      </c>
    </row>
    <row r="691" spans="1:15">
      <c r="A691" t="s">
        <v>866</v>
      </c>
      <c r="B691" s="2">
        <v>46110</v>
      </c>
      <c r="C691" t="s">
        <v>156</v>
      </c>
      <c r="D691" t="s">
        <v>35</v>
      </c>
      <c r="E691" t="s">
        <v>39</v>
      </c>
      <c r="F691" t="s">
        <v>17</v>
      </c>
      <c r="G691">
        <v>1</v>
      </c>
      <c r="H691" s="3">
        <v>12.95</v>
      </c>
      <c r="I691" s="3">
        <v>12.95</v>
      </c>
      <c r="J691" t="s">
        <v>53</v>
      </c>
      <c r="K691">
        <v>16</v>
      </c>
      <c r="L691">
        <v>24</v>
      </c>
      <c r="M691" t="s">
        <v>19</v>
      </c>
      <c r="N691">
        <f t="shared" si="20"/>
        <v>12.95</v>
      </c>
      <c r="O691" t="b">
        <f t="shared" si="21"/>
        <v>1</v>
      </c>
    </row>
    <row r="692" spans="1:15">
      <c r="A692" t="s">
        <v>867</v>
      </c>
      <c r="B692" s="2">
        <v>46133</v>
      </c>
      <c r="C692" t="s">
        <v>195</v>
      </c>
      <c r="D692" t="s">
        <v>35</v>
      </c>
      <c r="E692" t="s">
        <v>26</v>
      </c>
      <c r="F692" t="s">
        <v>17</v>
      </c>
      <c r="G692">
        <v>2</v>
      </c>
      <c r="H692" s="3">
        <v>11.5</v>
      </c>
      <c r="I692" s="3">
        <v>0</v>
      </c>
      <c r="J692" t="s">
        <v>18</v>
      </c>
      <c r="K692">
        <v>14</v>
      </c>
      <c r="L692">
        <v>23</v>
      </c>
      <c r="M692" t="s">
        <v>152</v>
      </c>
      <c r="N692">
        <f t="shared" si="20"/>
        <v>23</v>
      </c>
      <c r="O692" t="b">
        <f t="shared" si="21"/>
        <v>1</v>
      </c>
    </row>
    <row r="693" spans="1:15">
      <c r="A693" t="s">
        <v>868</v>
      </c>
      <c r="B693" s="2">
        <v>46099</v>
      </c>
      <c r="C693" t="s">
        <v>297</v>
      </c>
      <c r="D693" t="s">
        <v>35</v>
      </c>
      <c r="E693" t="s">
        <v>83</v>
      </c>
      <c r="F693" t="s">
        <v>17</v>
      </c>
      <c r="G693">
        <v>1</v>
      </c>
      <c r="H693" s="3">
        <v>13.5</v>
      </c>
      <c r="I693" s="3">
        <v>13.5</v>
      </c>
      <c r="J693" t="s">
        <v>32</v>
      </c>
      <c r="K693">
        <v>24</v>
      </c>
      <c r="L693">
        <v>16</v>
      </c>
      <c r="M693" t="s">
        <v>19</v>
      </c>
      <c r="N693">
        <f t="shared" si="20"/>
        <v>13.5</v>
      </c>
      <c r="O693" t="b">
        <f t="shared" si="21"/>
        <v>1</v>
      </c>
    </row>
    <row r="694" spans="1:15">
      <c r="A694" t="s">
        <v>869</v>
      </c>
      <c r="B694" s="2">
        <v>46040</v>
      </c>
      <c r="C694" t="s">
        <v>171</v>
      </c>
      <c r="D694" t="s">
        <v>35</v>
      </c>
      <c r="E694" t="s">
        <v>59</v>
      </c>
      <c r="F694" t="s">
        <v>17</v>
      </c>
      <c r="G694">
        <v>1</v>
      </c>
      <c r="H694" s="3">
        <v>11.95</v>
      </c>
      <c r="I694" s="3">
        <v>11.95</v>
      </c>
      <c r="J694" t="s">
        <v>18</v>
      </c>
      <c r="K694">
        <v>23</v>
      </c>
      <c r="L694">
        <v>28</v>
      </c>
      <c r="M694" t="s">
        <v>19</v>
      </c>
      <c r="N694">
        <f t="shared" si="20"/>
        <v>11.95</v>
      </c>
      <c r="O694" t="b">
        <f t="shared" si="21"/>
        <v>1</v>
      </c>
    </row>
    <row r="695" spans="1:15">
      <c r="A695" t="s">
        <v>870</v>
      </c>
      <c r="B695" s="2">
        <v>46134</v>
      </c>
      <c r="C695" t="s">
        <v>14</v>
      </c>
      <c r="D695" t="s">
        <v>15</v>
      </c>
      <c r="E695" t="s">
        <v>39</v>
      </c>
      <c r="F695" t="s">
        <v>17</v>
      </c>
      <c r="G695">
        <v>1</v>
      </c>
      <c r="H695" s="3">
        <v>12.95</v>
      </c>
      <c r="I695" s="3">
        <v>12.95</v>
      </c>
      <c r="J695" t="s">
        <v>27</v>
      </c>
      <c r="K695">
        <v>10</v>
      </c>
      <c r="L695">
        <v>21</v>
      </c>
      <c r="M695" t="s">
        <v>19</v>
      </c>
      <c r="N695">
        <f t="shared" si="20"/>
        <v>12.95</v>
      </c>
      <c r="O695" t="b">
        <f t="shared" si="21"/>
        <v>1</v>
      </c>
    </row>
    <row r="696" spans="1:15">
      <c r="A696" t="s">
        <v>871</v>
      </c>
      <c r="B696" s="2">
        <v>46258</v>
      </c>
      <c r="C696" t="s">
        <v>134</v>
      </c>
      <c r="D696" t="s">
        <v>35</v>
      </c>
      <c r="E696" t="s">
        <v>26</v>
      </c>
      <c r="F696" t="s">
        <v>17</v>
      </c>
      <c r="G696">
        <v>4</v>
      </c>
      <c r="H696" s="3">
        <v>11.5</v>
      </c>
      <c r="I696" s="3">
        <v>46</v>
      </c>
      <c r="J696" t="s">
        <v>27</v>
      </c>
      <c r="K696">
        <v>13</v>
      </c>
      <c r="L696">
        <v>21</v>
      </c>
      <c r="M696" t="s">
        <v>19</v>
      </c>
      <c r="N696">
        <f t="shared" si="20"/>
        <v>46</v>
      </c>
      <c r="O696" t="b">
        <f t="shared" si="21"/>
        <v>1</v>
      </c>
    </row>
    <row r="697" spans="1:15">
      <c r="A697" t="s">
        <v>872</v>
      </c>
      <c r="B697" s="2">
        <v>46212</v>
      </c>
      <c r="C697" t="s">
        <v>230</v>
      </c>
      <c r="D697" t="s">
        <v>35</v>
      </c>
      <c r="E697" t="s">
        <v>26</v>
      </c>
      <c r="F697" t="s">
        <v>17</v>
      </c>
      <c r="G697">
        <v>2</v>
      </c>
      <c r="H697" s="3">
        <v>11.5</v>
      </c>
      <c r="I697" s="3">
        <v>23</v>
      </c>
      <c r="J697" t="s">
        <v>53</v>
      </c>
      <c r="K697">
        <v>13</v>
      </c>
      <c r="L697">
        <v>7</v>
      </c>
      <c r="M697" t="s">
        <v>19</v>
      </c>
      <c r="N697">
        <f t="shared" si="20"/>
        <v>23</v>
      </c>
      <c r="O697" t="b">
        <f t="shared" si="21"/>
        <v>1</v>
      </c>
    </row>
    <row r="698" spans="1:15">
      <c r="A698" t="s">
        <v>873</v>
      </c>
      <c r="B698" s="2">
        <v>46193</v>
      </c>
      <c r="C698" t="s">
        <v>173</v>
      </c>
      <c r="D698" t="s">
        <v>35</v>
      </c>
      <c r="E698" t="s">
        <v>41</v>
      </c>
      <c r="F698" t="s">
        <v>31</v>
      </c>
      <c r="G698">
        <v>2</v>
      </c>
      <c r="H698" s="3">
        <v>5.5</v>
      </c>
      <c r="I698" s="3">
        <v>11</v>
      </c>
      <c r="J698" t="s">
        <v>18</v>
      </c>
      <c r="K698">
        <v>26</v>
      </c>
      <c r="L698">
        <v>9</v>
      </c>
      <c r="M698" t="s">
        <v>19</v>
      </c>
      <c r="N698">
        <f t="shared" si="20"/>
        <v>11</v>
      </c>
      <c r="O698" t="b">
        <f t="shared" si="21"/>
        <v>1</v>
      </c>
    </row>
    <row r="699" spans="1:15">
      <c r="A699" t="s">
        <v>874</v>
      </c>
      <c r="B699" s="2">
        <v>46194</v>
      </c>
      <c r="C699" t="s">
        <v>400</v>
      </c>
      <c r="D699" t="s">
        <v>35</v>
      </c>
      <c r="E699" t="s">
        <v>30</v>
      </c>
      <c r="F699" t="s">
        <v>31</v>
      </c>
      <c r="G699">
        <v>3</v>
      </c>
      <c r="H699" s="3">
        <v>8.5</v>
      </c>
      <c r="I699" s="3">
        <v>25.5</v>
      </c>
      <c r="J699" t="s">
        <v>18</v>
      </c>
      <c r="K699">
        <v>13</v>
      </c>
      <c r="L699">
        <v>17</v>
      </c>
      <c r="M699" t="s">
        <v>19</v>
      </c>
      <c r="N699">
        <f t="shared" si="20"/>
        <v>25.5</v>
      </c>
      <c r="O699" t="b">
        <f t="shared" si="21"/>
        <v>1</v>
      </c>
    </row>
    <row r="700" spans="1:15">
      <c r="A700" t="s">
        <v>875</v>
      </c>
      <c r="B700" s="2">
        <v>46043</v>
      </c>
      <c r="C700" t="s">
        <v>395</v>
      </c>
      <c r="D700" t="s">
        <v>15</v>
      </c>
      <c r="E700" t="s">
        <v>36</v>
      </c>
      <c r="F700" t="s">
        <v>23</v>
      </c>
      <c r="G700">
        <v>2</v>
      </c>
      <c r="H700" s="3">
        <v>2.8</v>
      </c>
      <c r="I700" s="3">
        <v>5.6</v>
      </c>
      <c r="J700" t="s">
        <v>27</v>
      </c>
      <c r="K700">
        <v>11</v>
      </c>
      <c r="L700">
        <v>7</v>
      </c>
      <c r="M700" t="s">
        <v>19</v>
      </c>
      <c r="N700">
        <f t="shared" si="20"/>
        <v>5.6</v>
      </c>
      <c r="O700" t="b">
        <f t="shared" si="21"/>
        <v>1</v>
      </c>
    </row>
    <row r="701" spans="1:15">
      <c r="A701" t="s">
        <v>876</v>
      </c>
      <c r="B701" s="2">
        <v>46081</v>
      </c>
      <c r="C701" t="s">
        <v>134</v>
      </c>
      <c r="D701" t="s">
        <v>35</v>
      </c>
      <c r="E701" t="s">
        <v>70</v>
      </c>
      <c r="F701" t="s">
        <v>17</v>
      </c>
      <c r="G701">
        <v>2</v>
      </c>
      <c r="H701" s="3">
        <v>12.5</v>
      </c>
      <c r="I701" s="3">
        <v>-25</v>
      </c>
      <c r="J701" t="s">
        <v>27</v>
      </c>
      <c r="K701">
        <v>8</v>
      </c>
      <c r="L701">
        <v>16</v>
      </c>
      <c r="M701" t="s">
        <v>62</v>
      </c>
      <c r="N701">
        <f t="shared" si="20"/>
        <v>25</v>
      </c>
      <c r="O701" t="b">
        <f t="shared" si="21"/>
        <v>1</v>
      </c>
    </row>
    <row r="702" spans="1:15">
      <c r="A702" t="s">
        <v>877</v>
      </c>
      <c r="B702" s="2">
        <v>46159</v>
      </c>
      <c r="C702" t="s">
        <v>195</v>
      </c>
      <c r="D702" t="s">
        <v>35</v>
      </c>
      <c r="E702" t="s">
        <v>83</v>
      </c>
      <c r="F702" t="s">
        <v>17</v>
      </c>
      <c r="G702">
        <v>1</v>
      </c>
      <c r="H702" s="3">
        <v>13.5</v>
      </c>
      <c r="I702" s="3">
        <v>13.5</v>
      </c>
      <c r="J702" t="s">
        <v>27</v>
      </c>
      <c r="K702">
        <v>27</v>
      </c>
      <c r="L702">
        <v>13</v>
      </c>
      <c r="M702" t="s">
        <v>19</v>
      </c>
      <c r="N702">
        <f t="shared" si="20"/>
        <v>13.5</v>
      </c>
      <c r="O702" t="b">
        <f t="shared" si="21"/>
        <v>1</v>
      </c>
    </row>
    <row r="703" spans="1:15">
      <c r="A703" t="s">
        <v>878</v>
      </c>
      <c r="B703" s="2">
        <v>46295</v>
      </c>
      <c r="C703" t="s">
        <v>189</v>
      </c>
      <c r="D703" t="s">
        <v>35</v>
      </c>
      <c r="E703" t="s">
        <v>96</v>
      </c>
      <c r="F703" t="s">
        <v>47</v>
      </c>
      <c r="G703">
        <v>2</v>
      </c>
      <c r="H703" s="3">
        <v>5.75</v>
      </c>
      <c r="I703" s="3">
        <v>11.5</v>
      </c>
      <c r="J703" t="s">
        <v>32</v>
      </c>
      <c r="K703">
        <v>23</v>
      </c>
      <c r="L703">
        <v>22</v>
      </c>
      <c r="M703" t="s">
        <v>19</v>
      </c>
      <c r="N703">
        <f t="shared" si="20"/>
        <v>11.5</v>
      </c>
      <c r="O703" t="b">
        <f t="shared" si="21"/>
        <v>1</v>
      </c>
    </row>
    <row r="704" spans="1:15">
      <c r="A704" t="s">
        <v>879</v>
      </c>
      <c r="B704" s="2">
        <v>46056</v>
      </c>
      <c r="C704" t="s">
        <v>29</v>
      </c>
      <c r="D704" t="s">
        <v>15</v>
      </c>
      <c r="E704" t="s">
        <v>39</v>
      </c>
      <c r="F704" t="s">
        <v>17</v>
      </c>
      <c r="G704">
        <v>1</v>
      </c>
      <c r="H704" s="3">
        <v>12.95</v>
      </c>
      <c r="I704" s="3">
        <v>12.95</v>
      </c>
      <c r="J704" t="s">
        <v>27</v>
      </c>
      <c r="K704">
        <v>4</v>
      </c>
      <c r="L704">
        <v>12</v>
      </c>
      <c r="M704" t="s">
        <v>19</v>
      </c>
      <c r="N704">
        <f t="shared" si="20"/>
        <v>12.95</v>
      </c>
      <c r="O704" t="b">
        <f t="shared" si="21"/>
        <v>1</v>
      </c>
    </row>
    <row r="705" spans="1:15">
      <c r="A705" t="s">
        <v>880</v>
      </c>
      <c r="B705" s="2">
        <v>46080</v>
      </c>
      <c r="C705" t="s">
        <v>148</v>
      </c>
      <c r="D705" t="s">
        <v>35</v>
      </c>
      <c r="E705" t="s">
        <v>70</v>
      </c>
      <c r="F705" t="s">
        <v>17</v>
      </c>
      <c r="G705">
        <v>1</v>
      </c>
      <c r="H705" s="3">
        <v>12.5</v>
      </c>
      <c r="I705" s="3">
        <v>12.5</v>
      </c>
      <c r="J705" t="s">
        <v>27</v>
      </c>
      <c r="K705">
        <v>1</v>
      </c>
      <c r="L705">
        <v>34</v>
      </c>
      <c r="M705" t="s">
        <v>19</v>
      </c>
      <c r="N705">
        <f t="shared" si="20"/>
        <v>12.5</v>
      </c>
      <c r="O705" t="b">
        <f t="shared" si="21"/>
        <v>1</v>
      </c>
    </row>
    <row r="706" spans="1:15">
      <c r="A706" t="s">
        <v>881</v>
      </c>
      <c r="B706" s="2">
        <v>46090</v>
      </c>
      <c r="C706" t="s">
        <v>171</v>
      </c>
      <c r="D706" t="s">
        <v>35</v>
      </c>
      <c r="E706" t="s">
        <v>26</v>
      </c>
      <c r="F706" t="s">
        <v>17</v>
      </c>
      <c r="G706">
        <v>1</v>
      </c>
      <c r="H706" s="3">
        <v>11.5</v>
      </c>
      <c r="I706" s="3">
        <v>11.5</v>
      </c>
      <c r="J706" t="s">
        <v>53</v>
      </c>
      <c r="K706">
        <v>27</v>
      </c>
      <c r="L706">
        <v>30</v>
      </c>
      <c r="M706" t="s">
        <v>19</v>
      </c>
      <c r="N706">
        <f t="shared" ref="N706:N769" si="22">G706*H706</f>
        <v>11.5</v>
      </c>
      <c r="O706" t="b">
        <f t="shared" ref="O706:O769" si="23">OR(AND(M706="Completed",I706=N706),AND(M706="Refunded",ABS(I706)=N706),AND(M706="Cancelled",I706=0))</f>
        <v>1</v>
      </c>
    </row>
    <row r="707" spans="1:15">
      <c r="A707" t="s">
        <v>882</v>
      </c>
      <c r="B707" s="2">
        <v>46194</v>
      </c>
      <c r="C707" t="s">
        <v>64</v>
      </c>
      <c r="D707" t="s">
        <v>35</v>
      </c>
      <c r="E707" t="s">
        <v>93</v>
      </c>
      <c r="F707" t="s">
        <v>31</v>
      </c>
      <c r="G707">
        <v>1</v>
      </c>
      <c r="H707" s="3">
        <v>6.25</v>
      </c>
      <c r="I707" s="3">
        <v>6.25</v>
      </c>
      <c r="J707" t="s">
        <v>18</v>
      </c>
      <c r="K707">
        <v>23</v>
      </c>
      <c r="L707">
        <v>21</v>
      </c>
      <c r="M707" t="s">
        <v>19</v>
      </c>
      <c r="N707">
        <f t="shared" si="22"/>
        <v>6.25</v>
      </c>
      <c r="O707" t="b">
        <f t="shared" si="23"/>
        <v>1</v>
      </c>
    </row>
    <row r="708" spans="1:15">
      <c r="A708" t="s">
        <v>883</v>
      </c>
      <c r="B708" s="2">
        <v>46250</v>
      </c>
      <c r="C708" t="s">
        <v>89</v>
      </c>
      <c r="D708" t="s">
        <v>35</v>
      </c>
      <c r="E708" t="s">
        <v>126</v>
      </c>
      <c r="F708" t="s">
        <v>31</v>
      </c>
      <c r="G708">
        <v>1</v>
      </c>
      <c r="H708" s="3">
        <v>7.95</v>
      </c>
      <c r="I708" s="3">
        <v>7.95</v>
      </c>
      <c r="J708" t="s">
        <v>32</v>
      </c>
      <c r="K708">
        <v>10</v>
      </c>
      <c r="L708">
        <v>20</v>
      </c>
      <c r="M708" t="s">
        <v>19</v>
      </c>
      <c r="N708">
        <f t="shared" si="22"/>
        <v>7.95</v>
      </c>
      <c r="O708" t="b">
        <f t="shared" si="23"/>
        <v>1</v>
      </c>
    </row>
    <row r="709" spans="1:15">
      <c r="A709" t="s">
        <v>884</v>
      </c>
      <c r="B709" s="2">
        <v>46047</v>
      </c>
      <c r="C709" t="s">
        <v>425</v>
      </c>
      <c r="D709" t="s">
        <v>15</v>
      </c>
      <c r="E709" t="s">
        <v>106</v>
      </c>
      <c r="F709" t="s">
        <v>17</v>
      </c>
      <c r="G709">
        <v>2</v>
      </c>
      <c r="H709" s="3">
        <v>15.95</v>
      </c>
      <c r="I709" s="3">
        <v>31.9</v>
      </c>
      <c r="J709" t="s">
        <v>18</v>
      </c>
      <c r="K709">
        <v>23</v>
      </c>
      <c r="L709">
        <v>21</v>
      </c>
      <c r="M709" t="s">
        <v>19</v>
      </c>
      <c r="N709">
        <f t="shared" si="22"/>
        <v>31.9</v>
      </c>
      <c r="O709" t="b">
        <f t="shared" si="23"/>
        <v>1</v>
      </c>
    </row>
    <row r="710" spans="1:15">
      <c r="A710" t="s">
        <v>885</v>
      </c>
      <c r="B710" s="2">
        <v>46116</v>
      </c>
      <c r="C710" t="s">
        <v>615</v>
      </c>
      <c r="D710" t="s">
        <v>35</v>
      </c>
      <c r="E710" t="s">
        <v>50</v>
      </c>
      <c r="F710" t="s">
        <v>17</v>
      </c>
      <c r="G710">
        <v>1</v>
      </c>
      <c r="H710" s="3">
        <v>14.5</v>
      </c>
      <c r="I710" s="3">
        <v>14.5</v>
      </c>
      <c r="J710" t="s">
        <v>18</v>
      </c>
      <c r="K710">
        <v>5</v>
      </c>
      <c r="L710">
        <v>25</v>
      </c>
      <c r="M710" t="s">
        <v>19</v>
      </c>
      <c r="N710">
        <f t="shared" si="22"/>
        <v>14.5</v>
      </c>
      <c r="O710" t="b">
        <f t="shared" si="23"/>
        <v>1</v>
      </c>
    </row>
    <row r="711" spans="1:15">
      <c r="A711" t="s">
        <v>886</v>
      </c>
      <c r="B711" s="2">
        <v>46212</v>
      </c>
      <c r="C711" t="s">
        <v>320</v>
      </c>
      <c r="D711" t="s">
        <v>15</v>
      </c>
      <c r="E711" t="s">
        <v>83</v>
      </c>
      <c r="F711" t="s">
        <v>17</v>
      </c>
      <c r="G711">
        <v>2</v>
      </c>
      <c r="H711" s="3">
        <v>13.5</v>
      </c>
      <c r="I711" s="3">
        <v>27</v>
      </c>
      <c r="J711" t="s">
        <v>18</v>
      </c>
      <c r="K711">
        <v>5</v>
      </c>
      <c r="L711">
        <v>17</v>
      </c>
      <c r="M711" t="s">
        <v>19</v>
      </c>
      <c r="N711">
        <f t="shared" si="22"/>
        <v>27</v>
      </c>
      <c r="O711" t="b">
        <f t="shared" si="23"/>
        <v>1</v>
      </c>
    </row>
    <row r="712" spans="1:15">
      <c r="A712" t="s">
        <v>887</v>
      </c>
      <c r="B712" s="2">
        <v>46106</v>
      </c>
      <c r="C712" t="s">
        <v>95</v>
      </c>
      <c r="D712" t="s">
        <v>35</v>
      </c>
      <c r="E712" t="s">
        <v>46</v>
      </c>
      <c r="F712" t="s">
        <v>47</v>
      </c>
      <c r="G712">
        <v>3</v>
      </c>
      <c r="H712" s="3">
        <v>6.95</v>
      </c>
      <c r="I712" s="3">
        <v>-20.85</v>
      </c>
      <c r="J712" t="s">
        <v>27</v>
      </c>
      <c r="K712">
        <v>11</v>
      </c>
      <c r="L712">
        <v>24</v>
      </c>
      <c r="M712" t="s">
        <v>62</v>
      </c>
      <c r="N712">
        <f t="shared" si="22"/>
        <v>20.85</v>
      </c>
      <c r="O712" t="b">
        <f t="shared" si="23"/>
        <v>1</v>
      </c>
    </row>
    <row r="713" spans="1:15">
      <c r="A713" t="s">
        <v>888</v>
      </c>
      <c r="B713" s="2">
        <v>46282</v>
      </c>
      <c r="C713" t="s">
        <v>425</v>
      </c>
      <c r="D713" t="s">
        <v>15</v>
      </c>
      <c r="E713" t="s">
        <v>126</v>
      </c>
      <c r="F713" t="s">
        <v>31</v>
      </c>
      <c r="G713">
        <v>3</v>
      </c>
      <c r="H713" s="3">
        <v>7.95</v>
      </c>
      <c r="I713" s="3">
        <v>0</v>
      </c>
      <c r="J713" t="s">
        <v>18</v>
      </c>
      <c r="K713">
        <v>19</v>
      </c>
      <c r="L713">
        <v>21</v>
      </c>
      <c r="M713" t="s">
        <v>152</v>
      </c>
      <c r="N713">
        <f t="shared" si="22"/>
        <v>23.85</v>
      </c>
      <c r="O713" t="b">
        <f t="shared" si="23"/>
        <v>1</v>
      </c>
    </row>
    <row r="714" spans="1:15">
      <c r="A714" t="s">
        <v>889</v>
      </c>
      <c r="B714" s="2">
        <v>46249</v>
      </c>
      <c r="C714" t="s">
        <v>61</v>
      </c>
      <c r="D714" t="s">
        <v>15</v>
      </c>
      <c r="E714" t="s">
        <v>103</v>
      </c>
      <c r="F714" t="s">
        <v>23</v>
      </c>
      <c r="G714">
        <v>3</v>
      </c>
      <c r="H714" s="3">
        <v>3.25</v>
      </c>
      <c r="I714" s="3">
        <v>9.75</v>
      </c>
      <c r="J714" t="s">
        <v>18</v>
      </c>
      <c r="K714">
        <v>1</v>
      </c>
      <c r="L714">
        <v>7</v>
      </c>
      <c r="M714" t="s">
        <v>19</v>
      </c>
      <c r="N714">
        <f t="shared" si="22"/>
        <v>9.75</v>
      </c>
      <c r="O714" t="b">
        <f t="shared" si="23"/>
        <v>1</v>
      </c>
    </row>
    <row r="715" spans="1:15">
      <c r="A715" t="s">
        <v>890</v>
      </c>
      <c r="B715" s="2">
        <v>46135</v>
      </c>
      <c r="C715" t="s">
        <v>493</v>
      </c>
      <c r="D715" t="s">
        <v>35</v>
      </c>
      <c r="E715" t="s">
        <v>83</v>
      </c>
      <c r="F715" t="s">
        <v>17</v>
      </c>
      <c r="G715">
        <v>2</v>
      </c>
      <c r="H715" s="3">
        <v>13.5</v>
      </c>
      <c r="I715" s="3">
        <v>27</v>
      </c>
      <c r="J715" t="s">
        <v>18</v>
      </c>
      <c r="K715">
        <v>19</v>
      </c>
      <c r="L715">
        <v>17</v>
      </c>
      <c r="M715" t="s">
        <v>19</v>
      </c>
      <c r="N715">
        <f t="shared" si="22"/>
        <v>27</v>
      </c>
      <c r="O715" t="b">
        <f t="shared" si="23"/>
        <v>1</v>
      </c>
    </row>
    <row r="716" spans="1:15">
      <c r="A716" t="s">
        <v>891</v>
      </c>
      <c r="B716" s="2">
        <v>46165</v>
      </c>
      <c r="C716" t="s">
        <v>178</v>
      </c>
      <c r="D716" t="s">
        <v>15</v>
      </c>
      <c r="E716" t="s">
        <v>96</v>
      </c>
      <c r="F716" t="s">
        <v>47</v>
      </c>
      <c r="G716">
        <v>2</v>
      </c>
      <c r="H716" s="3">
        <v>5.75</v>
      </c>
      <c r="I716" s="3">
        <v>11.5</v>
      </c>
      <c r="J716" t="s">
        <v>27</v>
      </c>
      <c r="K716">
        <v>16</v>
      </c>
      <c r="L716">
        <v>21</v>
      </c>
      <c r="M716" t="s">
        <v>19</v>
      </c>
      <c r="N716">
        <f t="shared" si="22"/>
        <v>11.5</v>
      </c>
      <c r="O716" t="b">
        <f t="shared" si="23"/>
        <v>1</v>
      </c>
    </row>
    <row r="717" spans="1:15">
      <c r="A717" t="s">
        <v>892</v>
      </c>
      <c r="B717" s="2">
        <v>46284</v>
      </c>
      <c r="C717" t="s">
        <v>271</v>
      </c>
      <c r="D717" t="s">
        <v>35</v>
      </c>
      <c r="E717" t="s">
        <v>46</v>
      </c>
      <c r="F717" t="s">
        <v>47</v>
      </c>
      <c r="G717">
        <v>1</v>
      </c>
      <c r="H717" s="3">
        <v>6.95</v>
      </c>
      <c r="I717" s="3">
        <v>6.95</v>
      </c>
      <c r="J717" t="s">
        <v>18</v>
      </c>
      <c r="K717">
        <v>12</v>
      </c>
      <c r="L717">
        <v>19</v>
      </c>
      <c r="M717" t="s">
        <v>19</v>
      </c>
      <c r="N717">
        <f t="shared" si="22"/>
        <v>6.95</v>
      </c>
      <c r="O717" t="b">
        <f t="shared" si="23"/>
        <v>1</v>
      </c>
    </row>
    <row r="718" spans="1:15">
      <c r="A718" t="s">
        <v>893</v>
      </c>
      <c r="B718" s="2">
        <v>46029</v>
      </c>
      <c r="C718" t="s">
        <v>465</v>
      </c>
      <c r="D718" t="s">
        <v>15</v>
      </c>
      <c r="E718" t="s">
        <v>96</v>
      </c>
      <c r="F718" t="s">
        <v>47</v>
      </c>
      <c r="G718">
        <v>2</v>
      </c>
      <c r="H718" s="3">
        <v>5.75</v>
      </c>
      <c r="I718" s="3">
        <v>11.5</v>
      </c>
      <c r="J718" t="s">
        <v>53</v>
      </c>
      <c r="K718">
        <v>24</v>
      </c>
      <c r="L718">
        <v>18</v>
      </c>
      <c r="M718" t="s">
        <v>19</v>
      </c>
      <c r="N718">
        <f t="shared" si="22"/>
        <v>11.5</v>
      </c>
      <c r="O718" t="b">
        <f t="shared" si="23"/>
        <v>1</v>
      </c>
    </row>
    <row r="719" spans="1:15">
      <c r="A719" t="s">
        <v>894</v>
      </c>
      <c r="B719" s="2">
        <v>46249</v>
      </c>
      <c r="C719" t="s">
        <v>489</v>
      </c>
      <c r="D719" t="s">
        <v>15</v>
      </c>
      <c r="E719" t="s">
        <v>78</v>
      </c>
      <c r="F719" t="s">
        <v>47</v>
      </c>
      <c r="G719">
        <v>1</v>
      </c>
      <c r="H719" s="3">
        <v>7.25</v>
      </c>
      <c r="I719" s="3">
        <v>7.25</v>
      </c>
      <c r="J719" t="s">
        <v>27</v>
      </c>
      <c r="K719">
        <v>20</v>
      </c>
      <c r="L719">
        <v>28</v>
      </c>
      <c r="M719" t="s">
        <v>19</v>
      </c>
      <c r="N719">
        <f t="shared" si="22"/>
        <v>7.25</v>
      </c>
      <c r="O719" t="b">
        <f t="shared" si="23"/>
        <v>1</v>
      </c>
    </row>
    <row r="720" spans="1:15">
      <c r="A720" t="s">
        <v>895</v>
      </c>
      <c r="B720" s="2">
        <v>46129</v>
      </c>
      <c r="C720" t="s">
        <v>225</v>
      </c>
      <c r="D720" t="s">
        <v>15</v>
      </c>
      <c r="E720" t="s">
        <v>39</v>
      </c>
      <c r="F720" t="s">
        <v>17</v>
      </c>
      <c r="G720">
        <v>3</v>
      </c>
      <c r="H720" s="3">
        <v>12.95</v>
      </c>
      <c r="I720" s="3">
        <v>38.85</v>
      </c>
      <c r="J720" t="s">
        <v>18</v>
      </c>
      <c r="K720">
        <v>14</v>
      </c>
      <c r="L720">
        <v>16</v>
      </c>
      <c r="M720" t="s">
        <v>19</v>
      </c>
      <c r="N720">
        <f t="shared" si="22"/>
        <v>38.849999999999994</v>
      </c>
      <c r="O720" t="b">
        <f t="shared" si="23"/>
        <v>1</v>
      </c>
    </row>
    <row r="721" spans="1:15">
      <c r="A721" t="s">
        <v>896</v>
      </c>
      <c r="B721" s="2">
        <v>46162</v>
      </c>
      <c r="C721" t="s">
        <v>139</v>
      </c>
      <c r="D721" t="s">
        <v>35</v>
      </c>
      <c r="E721" t="s">
        <v>121</v>
      </c>
      <c r="F721" t="s">
        <v>23</v>
      </c>
      <c r="G721">
        <v>2</v>
      </c>
      <c r="H721" s="3">
        <v>6.5</v>
      </c>
      <c r="I721" s="3">
        <v>13</v>
      </c>
      <c r="J721" t="s">
        <v>27</v>
      </c>
      <c r="K721">
        <v>7</v>
      </c>
      <c r="L721">
        <v>10</v>
      </c>
      <c r="M721" t="s">
        <v>19</v>
      </c>
      <c r="N721">
        <f t="shared" si="22"/>
        <v>13</v>
      </c>
      <c r="O721" t="b">
        <f t="shared" si="23"/>
        <v>1</v>
      </c>
    </row>
    <row r="722" spans="1:15">
      <c r="A722" t="s">
        <v>897</v>
      </c>
      <c r="B722" s="2">
        <v>46218</v>
      </c>
      <c r="C722" t="s">
        <v>214</v>
      </c>
      <c r="D722" t="s">
        <v>15</v>
      </c>
      <c r="E722" t="s">
        <v>126</v>
      </c>
      <c r="F722" t="s">
        <v>31</v>
      </c>
      <c r="G722">
        <v>2</v>
      </c>
      <c r="H722" s="3">
        <v>7.95</v>
      </c>
      <c r="I722" s="3">
        <v>15.9</v>
      </c>
      <c r="J722" t="s">
        <v>27</v>
      </c>
      <c r="K722">
        <v>8</v>
      </c>
      <c r="L722">
        <v>6</v>
      </c>
      <c r="M722" t="s">
        <v>19</v>
      </c>
      <c r="N722">
        <f t="shared" si="22"/>
        <v>15.9</v>
      </c>
      <c r="O722" t="b">
        <f t="shared" si="23"/>
        <v>1</v>
      </c>
    </row>
    <row r="723" spans="1:15">
      <c r="A723" t="s">
        <v>898</v>
      </c>
      <c r="B723" s="2">
        <v>46024</v>
      </c>
      <c r="C723" t="s">
        <v>326</v>
      </c>
      <c r="D723" t="s">
        <v>15</v>
      </c>
      <c r="E723" t="s">
        <v>103</v>
      </c>
      <c r="F723" t="s">
        <v>23</v>
      </c>
      <c r="G723">
        <v>1</v>
      </c>
      <c r="H723" s="3">
        <v>3.25</v>
      </c>
      <c r="I723" s="3">
        <v>3.25</v>
      </c>
      <c r="J723" t="s">
        <v>27</v>
      </c>
      <c r="K723">
        <v>29</v>
      </c>
      <c r="L723">
        <v>9</v>
      </c>
      <c r="M723" t="s">
        <v>19</v>
      </c>
      <c r="N723">
        <f t="shared" si="22"/>
        <v>3.25</v>
      </c>
      <c r="O723" t="b">
        <f t="shared" si="23"/>
        <v>1</v>
      </c>
    </row>
    <row r="724" spans="1:15">
      <c r="A724" t="s">
        <v>899</v>
      </c>
      <c r="B724" s="2">
        <v>46114</v>
      </c>
      <c r="C724" t="s">
        <v>230</v>
      </c>
      <c r="D724" t="s">
        <v>35</v>
      </c>
      <c r="E724" t="s">
        <v>16</v>
      </c>
      <c r="F724" t="s">
        <v>17</v>
      </c>
      <c r="G724">
        <v>1</v>
      </c>
      <c r="H724" s="3">
        <v>9.9499999999999993</v>
      </c>
      <c r="I724" s="3">
        <v>-9.9499999999999993</v>
      </c>
      <c r="J724" t="s">
        <v>18</v>
      </c>
      <c r="K724">
        <v>3</v>
      </c>
      <c r="L724">
        <v>16</v>
      </c>
      <c r="M724" t="s">
        <v>62</v>
      </c>
      <c r="N724">
        <f t="shared" si="22"/>
        <v>9.9499999999999993</v>
      </c>
      <c r="O724" t="b">
        <f t="shared" si="23"/>
        <v>1</v>
      </c>
    </row>
    <row r="725" spans="1:15">
      <c r="A725" t="s">
        <v>900</v>
      </c>
      <c r="B725" s="2">
        <v>46208</v>
      </c>
      <c r="C725" t="s">
        <v>145</v>
      </c>
      <c r="D725" t="s">
        <v>35</v>
      </c>
      <c r="E725" t="s">
        <v>41</v>
      </c>
      <c r="F725" t="s">
        <v>31</v>
      </c>
      <c r="G725">
        <v>2</v>
      </c>
      <c r="H725" s="3">
        <v>5.5</v>
      </c>
      <c r="I725" s="3">
        <v>11</v>
      </c>
      <c r="J725" t="s">
        <v>32</v>
      </c>
      <c r="K725">
        <v>23</v>
      </c>
      <c r="L725">
        <v>39</v>
      </c>
      <c r="M725" t="s">
        <v>19</v>
      </c>
      <c r="N725">
        <f t="shared" si="22"/>
        <v>11</v>
      </c>
      <c r="O725" t="b">
        <f t="shared" si="23"/>
        <v>1</v>
      </c>
    </row>
    <row r="726" spans="1:15">
      <c r="A726" t="s">
        <v>901</v>
      </c>
      <c r="B726" s="2">
        <v>46214</v>
      </c>
      <c r="C726" t="s">
        <v>191</v>
      </c>
      <c r="D726" t="s">
        <v>35</v>
      </c>
      <c r="E726" t="s">
        <v>41</v>
      </c>
      <c r="F726" t="s">
        <v>31</v>
      </c>
      <c r="G726">
        <v>1</v>
      </c>
      <c r="H726" s="3">
        <v>5.5</v>
      </c>
      <c r="I726" s="3">
        <v>5.5</v>
      </c>
      <c r="J726" t="s">
        <v>27</v>
      </c>
      <c r="K726">
        <v>23</v>
      </c>
      <c r="L726">
        <v>24</v>
      </c>
      <c r="M726" t="s">
        <v>19</v>
      </c>
      <c r="N726">
        <f t="shared" si="22"/>
        <v>5.5</v>
      </c>
      <c r="O726" t="b">
        <f t="shared" si="23"/>
        <v>1</v>
      </c>
    </row>
    <row r="727" spans="1:15">
      <c r="A727" t="s">
        <v>902</v>
      </c>
      <c r="B727" s="2">
        <v>46106</v>
      </c>
      <c r="C727" t="s">
        <v>288</v>
      </c>
      <c r="D727" t="s">
        <v>15</v>
      </c>
      <c r="E727" t="s">
        <v>30</v>
      </c>
      <c r="F727" t="s">
        <v>31</v>
      </c>
      <c r="G727">
        <v>1</v>
      </c>
      <c r="H727" s="3">
        <v>8.5</v>
      </c>
      <c r="I727" s="3">
        <v>8.5</v>
      </c>
      <c r="J727" t="s">
        <v>18</v>
      </c>
      <c r="K727">
        <v>17</v>
      </c>
      <c r="L727">
        <v>21</v>
      </c>
      <c r="M727" t="s">
        <v>19</v>
      </c>
      <c r="N727">
        <f t="shared" si="22"/>
        <v>8.5</v>
      </c>
      <c r="O727" t="b">
        <f t="shared" si="23"/>
        <v>1</v>
      </c>
    </row>
    <row r="728" spans="1:15">
      <c r="A728" t="s">
        <v>903</v>
      </c>
      <c r="B728" s="2">
        <v>46062</v>
      </c>
      <c r="C728" t="s">
        <v>112</v>
      </c>
      <c r="D728" t="s">
        <v>35</v>
      </c>
      <c r="E728" t="s">
        <v>59</v>
      </c>
      <c r="F728" t="s">
        <v>17</v>
      </c>
      <c r="G728">
        <v>2</v>
      </c>
      <c r="H728" s="3">
        <v>11.95</v>
      </c>
      <c r="I728" s="3">
        <v>23.9</v>
      </c>
      <c r="J728" t="s">
        <v>32</v>
      </c>
      <c r="K728">
        <v>27</v>
      </c>
      <c r="L728">
        <v>8</v>
      </c>
      <c r="M728" t="s">
        <v>19</v>
      </c>
      <c r="N728">
        <f t="shared" si="22"/>
        <v>23.9</v>
      </c>
      <c r="O728" t="b">
        <f t="shared" si="23"/>
        <v>1</v>
      </c>
    </row>
    <row r="729" spans="1:15">
      <c r="A729" t="s">
        <v>904</v>
      </c>
      <c r="B729" s="2">
        <v>46177</v>
      </c>
      <c r="C729" t="s">
        <v>80</v>
      </c>
      <c r="D729" t="s">
        <v>15</v>
      </c>
      <c r="E729" t="s">
        <v>36</v>
      </c>
      <c r="F729" t="s">
        <v>23</v>
      </c>
      <c r="G729">
        <v>2</v>
      </c>
      <c r="H729" s="3">
        <v>2.8</v>
      </c>
      <c r="I729" s="3">
        <v>5.6</v>
      </c>
      <c r="J729" t="s">
        <v>27</v>
      </c>
      <c r="K729">
        <v>1</v>
      </c>
      <c r="L729">
        <v>5</v>
      </c>
      <c r="M729" t="s">
        <v>19</v>
      </c>
      <c r="N729">
        <f t="shared" si="22"/>
        <v>5.6</v>
      </c>
      <c r="O729" t="b">
        <f t="shared" si="23"/>
        <v>1</v>
      </c>
    </row>
    <row r="730" spans="1:15">
      <c r="A730" t="s">
        <v>905</v>
      </c>
      <c r="B730" s="2">
        <v>46167</v>
      </c>
      <c r="C730" t="s">
        <v>398</v>
      </c>
      <c r="D730" t="s">
        <v>15</v>
      </c>
      <c r="E730" t="s">
        <v>93</v>
      </c>
      <c r="F730" t="s">
        <v>31</v>
      </c>
      <c r="G730">
        <v>3</v>
      </c>
      <c r="H730" s="3">
        <v>6.25</v>
      </c>
      <c r="I730" s="3">
        <v>18.75</v>
      </c>
      <c r="J730" t="s">
        <v>32</v>
      </c>
      <c r="K730">
        <v>8</v>
      </c>
      <c r="L730">
        <v>18</v>
      </c>
      <c r="M730" t="s">
        <v>19</v>
      </c>
      <c r="N730">
        <f t="shared" si="22"/>
        <v>18.75</v>
      </c>
      <c r="O730" t="b">
        <f t="shared" si="23"/>
        <v>1</v>
      </c>
    </row>
    <row r="731" spans="1:15">
      <c r="A731" t="s">
        <v>906</v>
      </c>
      <c r="B731" s="2">
        <v>46292</v>
      </c>
      <c r="C731" t="s">
        <v>99</v>
      </c>
      <c r="D731" t="s">
        <v>35</v>
      </c>
      <c r="E731" t="s">
        <v>59</v>
      </c>
      <c r="F731" t="s">
        <v>17</v>
      </c>
      <c r="G731">
        <v>1</v>
      </c>
      <c r="H731" s="3">
        <v>11.95</v>
      </c>
      <c r="I731" s="3">
        <v>11.95</v>
      </c>
      <c r="J731" t="s">
        <v>32</v>
      </c>
      <c r="K731">
        <v>4</v>
      </c>
      <c r="L731">
        <v>22</v>
      </c>
      <c r="M731" t="s">
        <v>19</v>
      </c>
      <c r="N731">
        <f t="shared" si="22"/>
        <v>11.95</v>
      </c>
      <c r="O731" t="b">
        <f t="shared" si="23"/>
        <v>1</v>
      </c>
    </row>
    <row r="732" spans="1:15">
      <c r="A732" t="s">
        <v>907</v>
      </c>
      <c r="B732" s="2">
        <v>46031</v>
      </c>
      <c r="C732" t="s">
        <v>551</v>
      </c>
      <c r="D732" t="s">
        <v>35</v>
      </c>
      <c r="E732" t="s">
        <v>30</v>
      </c>
      <c r="F732" t="s">
        <v>31</v>
      </c>
      <c r="G732">
        <v>1</v>
      </c>
      <c r="H732" s="3">
        <v>8.5</v>
      </c>
      <c r="I732" s="3">
        <v>8.5</v>
      </c>
      <c r="J732" t="s">
        <v>53</v>
      </c>
      <c r="K732">
        <v>25</v>
      </c>
      <c r="L732">
        <v>26</v>
      </c>
      <c r="M732" t="s">
        <v>19</v>
      </c>
      <c r="N732">
        <f t="shared" si="22"/>
        <v>8.5</v>
      </c>
      <c r="O732" t="b">
        <f t="shared" si="23"/>
        <v>1</v>
      </c>
    </row>
    <row r="733" spans="1:15">
      <c r="A733" t="s">
        <v>908</v>
      </c>
      <c r="B733" s="2">
        <v>46111</v>
      </c>
      <c r="C733" t="s">
        <v>314</v>
      </c>
      <c r="D733" t="s">
        <v>35</v>
      </c>
      <c r="E733" t="s">
        <v>59</v>
      </c>
      <c r="F733" t="s">
        <v>17</v>
      </c>
      <c r="G733">
        <v>1</v>
      </c>
      <c r="H733" s="3">
        <v>11.95</v>
      </c>
      <c r="I733" s="3">
        <v>11.95</v>
      </c>
      <c r="J733" t="s">
        <v>18</v>
      </c>
      <c r="K733">
        <v>5</v>
      </c>
      <c r="L733">
        <v>14</v>
      </c>
      <c r="M733" t="s">
        <v>19</v>
      </c>
      <c r="N733">
        <f t="shared" si="22"/>
        <v>11.95</v>
      </c>
      <c r="O733" t="b">
        <f t="shared" si="23"/>
        <v>1</v>
      </c>
    </row>
    <row r="734" spans="1:15">
      <c r="A734" t="s">
        <v>909</v>
      </c>
      <c r="B734" s="2">
        <v>46180</v>
      </c>
      <c r="C734" t="s">
        <v>160</v>
      </c>
      <c r="D734" t="s">
        <v>15</v>
      </c>
      <c r="E734" t="s">
        <v>78</v>
      </c>
      <c r="F734" t="s">
        <v>47</v>
      </c>
      <c r="G734">
        <v>2</v>
      </c>
      <c r="H734" s="3">
        <v>7.25</v>
      </c>
      <c r="I734" s="3">
        <v>14.5</v>
      </c>
      <c r="J734" t="s">
        <v>18</v>
      </c>
      <c r="K734">
        <v>25</v>
      </c>
      <c r="L734">
        <v>25</v>
      </c>
      <c r="M734" t="s">
        <v>19</v>
      </c>
      <c r="N734">
        <f t="shared" si="22"/>
        <v>14.5</v>
      </c>
      <c r="O734" t="b">
        <f t="shared" si="23"/>
        <v>1</v>
      </c>
    </row>
    <row r="735" spans="1:15">
      <c r="A735" t="s">
        <v>910</v>
      </c>
      <c r="B735" s="2">
        <v>46123</v>
      </c>
      <c r="C735" t="s">
        <v>408</v>
      </c>
      <c r="D735" t="s">
        <v>15</v>
      </c>
      <c r="E735" t="s">
        <v>83</v>
      </c>
      <c r="F735" t="s">
        <v>17</v>
      </c>
      <c r="G735">
        <v>1</v>
      </c>
      <c r="H735" s="3">
        <v>13.5</v>
      </c>
      <c r="I735" s="3">
        <v>13.5</v>
      </c>
      <c r="J735" t="s">
        <v>27</v>
      </c>
      <c r="K735">
        <v>2</v>
      </c>
      <c r="L735">
        <v>20</v>
      </c>
      <c r="M735" t="s">
        <v>19</v>
      </c>
      <c r="N735">
        <f t="shared" si="22"/>
        <v>13.5</v>
      </c>
      <c r="O735" t="b">
        <f t="shared" si="23"/>
        <v>1</v>
      </c>
    </row>
    <row r="736" spans="1:15">
      <c r="A736" t="s">
        <v>911</v>
      </c>
      <c r="B736" s="2">
        <v>46028</v>
      </c>
      <c r="C736" t="s">
        <v>182</v>
      </c>
      <c r="D736" t="s">
        <v>35</v>
      </c>
      <c r="E736" t="s">
        <v>70</v>
      </c>
      <c r="F736" t="s">
        <v>17</v>
      </c>
      <c r="G736">
        <v>2</v>
      </c>
      <c r="H736" s="3">
        <v>12.5</v>
      </c>
      <c r="I736" s="3">
        <v>25</v>
      </c>
      <c r="J736" t="s">
        <v>27</v>
      </c>
      <c r="K736">
        <v>3</v>
      </c>
      <c r="L736">
        <v>22</v>
      </c>
      <c r="M736" t="s">
        <v>19</v>
      </c>
      <c r="N736">
        <f t="shared" si="22"/>
        <v>25</v>
      </c>
      <c r="O736" t="b">
        <f t="shared" si="23"/>
        <v>1</v>
      </c>
    </row>
    <row r="737" spans="1:15">
      <c r="A737" t="s">
        <v>912</v>
      </c>
      <c r="B737" s="2">
        <v>46165</v>
      </c>
      <c r="C737" t="s">
        <v>118</v>
      </c>
      <c r="D737" t="s">
        <v>35</v>
      </c>
      <c r="E737" t="s">
        <v>106</v>
      </c>
      <c r="F737" t="s">
        <v>17</v>
      </c>
      <c r="G737">
        <v>2</v>
      </c>
      <c r="H737" s="3">
        <v>15.95</v>
      </c>
      <c r="I737" s="3">
        <v>-31.9</v>
      </c>
      <c r="J737" t="s">
        <v>18</v>
      </c>
      <c r="K737">
        <v>24</v>
      </c>
      <c r="L737">
        <v>25</v>
      </c>
      <c r="M737" t="s">
        <v>62</v>
      </c>
      <c r="N737">
        <f t="shared" si="22"/>
        <v>31.9</v>
      </c>
      <c r="O737" t="b">
        <f t="shared" si="23"/>
        <v>1</v>
      </c>
    </row>
    <row r="738" spans="1:15">
      <c r="A738" t="s">
        <v>913</v>
      </c>
      <c r="B738" s="2">
        <v>46281</v>
      </c>
      <c r="C738" t="s">
        <v>182</v>
      </c>
      <c r="D738" t="s">
        <v>35</v>
      </c>
      <c r="E738" t="s">
        <v>26</v>
      </c>
      <c r="F738" t="s">
        <v>17</v>
      </c>
      <c r="G738">
        <v>1</v>
      </c>
      <c r="H738" s="3">
        <v>11.5</v>
      </c>
      <c r="I738" s="3">
        <v>11.5</v>
      </c>
      <c r="J738" t="s">
        <v>32</v>
      </c>
      <c r="K738">
        <v>29</v>
      </c>
      <c r="L738">
        <v>21</v>
      </c>
      <c r="M738" t="s">
        <v>19</v>
      </c>
      <c r="N738">
        <f t="shared" si="22"/>
        <v>11.5</v>
      </c>
      <c r="O738" t="b">
        <f t="shared" si="23"/>
        <v>1</v>
      </c>
    </row>
    <row r="739" spans="1:15">
      <c r="A739" t="s">
        <v>914</v>
      </c>
      <c r="B739" s="2">
        <v>46025</v>
      </c>
      <c r="C739" t="s">
        <v>73</v>
      </c>
      <c r="D739" t="s">
        <v>35</v>
      </c>
      <c r="E739" t="s">
        <v>22</v>
      </c>
      <c r="F739" t="s">
        <v>23</v>
      </c>
      <c r="G739">
        <v>2</v>
      </c>
      <c r="H739" s="3">
        <v>3.1</v>
      </c>
      <c r="I739" s="3">
        <v>6.2</v>
      </c>
      <c r="J739" t="s">
        <v>18</v>
      </c>
      <c r="K739">
        <v>12</v>
      </c>
      <c r="L739">
        <v>17</v>
      </c>
      <c r="M739" t="s">
        <v>19</v>
      </c>
      <c r="N739">
        <f t="shared" si="22"/>
        <v>6.2</v>
      </c>
      <c r="O739" t="b">
        <f t="shared" si="23"/>
        <v>1</v>
      </c>
    </row>
    <row r="740" spans="1:15">
      <c r="A740" t="s">
        <v>915</v>
      </c>
      <c r="B740" s="2">
        <v>46117</v>
      </c>
      <c r="C740" t="s">
        <v>142</v>
      </c>
      <c r="D740" t="s">
        <v>35</v>
      </c>
      <c r="E740" t="s">
        <v>30</v>
      </c>
      <c r="F740" t="s">
        <v>31</v>
      </c>
      <c r="G740">
        <v>4</v>
      </c>
      <c r="H740" s="3">
        <v>8.5</v>
      </c>
      <c r="I740" s="3">
        <v>34</v>
      </c>
      <c r="J740" t="s">
        <v>32</v>
      </c>
      <c r="K740">
        <v>4</v>
      </c>
      <c r="L740">
        <v>20</v>
      </c>
      <c r="M740" t="s">
        <v>19</v>
      </c>
      <c r="N740">
        <f t="shared" si="22"/>
        <v>34</v>
      </c>
      <c r="O740" t="b">
        <f t="shared" si="23"/>
        <v>1</v>
      </c>
    </row>
    <row r="741" spans="1:15">
      <c r="A741" t="s">
        <v>916</v>
      </c>
      <c r="B741" s="2">
        <v>46183</v>
      </c>
      <c r="C741" t="s">
        <v>178</v>
      </c>
      <c r="D741" t="s">
        <v>15</v>
      </c>
      <c r="E741" t="s">
        <v>50</v>
      </c>
      <c r="F741" t="s">
        <v>17</v>
      </c>
      <c r="G741">
        <v>1</v>
      </c>
      <c r="H741" s="3">
        <v>14.5</v>
      </c>
      <c r="I741" s="3">
        <v>14.5</v>
      </c>
      <c r="J741" t="s">
        <v>27</v>
      </c>
      <c r="K741">
        <v>23</v>
      </c>
      <c r="L741">
        <v>20</v>
      </c>
      <c r="M741" t="s">
        <v>19</v>
      </c>
      <c r="N741">
        <f t="shared" si="22"/>
        <v>14.5</v>
      </c>
      <c r="O741" t="b">
        <f t="shared" si="23"/>
        <v>1</v>
      </c>
    </row>
    <row r="742" spans="1:15">
      <c r="A742" t="s">
        <v>917</v>
      </c>
      <c r="B742" s="2">
        <v>46043</v>
      </c>
      <c r="C742" t="s">
        <v>29</v>
      </c>
      <c r="D742" t="s">
        <v>15</v>
      </c>
      <c r="E742" t="s">
        <v>46</v>
      </c>
      <c r="F742" t="s">
        <v>47</v>
      </c>
      <c r="G742">
        <v>1</v>
      </c>
      <c r="H742" s="3">
        <v>6.95</v>
      </c>
      <c r="I742" s="3">
        <v>6.95</v>
      </c>
      <c r="J742" t="s">
        <v>18</v>
      </c>
      <c r="K742">
        <v>27</v>
      </c>
      <c r="L742">
        <v>15</v>
      </c>
      <c r="M742" t="s">
        <v>19</v>
      </c>
      <c r="N742">
        <f t="shared" si="22"/>
        <v>6.95</v>
      </c>
      <c r="O742" t="b">
        <f t="shared" si="23"/>
        <v>1</v>
      </c>
    </row>
    <row r="743" spans="1:15">
      <c r="A743" t="s">
        <v>918</v>
      </c>
      <c r="B743" s="2">
        <v>46231</v>
      </c>
      <c r="C743" t="s">
        <v>165</v>
      </c>
      <c r="D743" t="s">
        <v>15</v>
      </c>
      <c r="E743" t="s">
        <v>39</v>
      </c>
      <c r="F743" t="s">
        <v>17</v>
      </c>
      <c r="G743">
        <v>3</v>
      </c>
      <c r="H743" s="3">
        <v>12.95</v>
      </c>
      <c r="I743" s="3">
        <v>38.85</v>
      </c>
      <c r="J743" t="s">
        <v>18</v>
      </c>
      <c r="K743">
        <v>22</v>
      </c>
      <c r="L743">
        <v>6</v>
      </c>
      <c r="M743" t="s">
        <v>19</v>
      </c>
      <c r="N743">
        <f t="shared" si="22"/>
        <v>38.849999999999994</v>
      </c>
      <c r="O743" t="b">
        <f t="shared" si="23"/>
        <v>1</v>
      </c>
    </row>
    <row r="744" spans="1:15">
      <c r="A744" t="s">
        <v>919</v>
      </c>
      <c r="B744" s="2">
        <v>46029</v>
      </c>
      <c r="C744" t="s">
        <v>137</v>
      </c>
      <c r="D744" t="s">
        <v>35</v>
      </c>
      <c r="E744" t="s">
        <v>59</v>
      </c>
      <c r="F744" t="s">
        <v>17</v>
      </c>
      <c r="G744">
        <v>1</v>
      </c>
      <c r="H744" s="3">
        <v>11.95</v>
      </c>
      <c r="I744" s="3">
        <v>11.95</v>
      </c>
      <c r="J744" t="s">
        <v>18</v>
      </c>
      <c r="K744">
        <v>5</v>
      </c>
      <c r="L744">
        <v>18</v>
      </c>
      <c r="M744" t="s">
        <v>19</v>
      </c>
      <c r="N744">
        <f t="shared" si="22"/>
        <v>11.95</v>
      </c>
      <c r="O744" t="b">
        <f t="shared" si="23"/>
        <v>1</v>
      </c>
    </row>
    <row r="745" spans="1:15">
      <c r="A745" t="s">
        <v>920</v>
      </c>
      <c r="B745" s="2">
        <v>46075</v>
      </c>
      <c r="C745" t="s">
        <v>169</v>
      </c>
      <c r="D745" t="s">
        <v>35</v>
      </c>
      <c r="E745" t="s">
        <v>30</v>
      </c>
      <c r="F745" t="s">
        <v>31</v>
      </c>
      <c r="G745">
        <v>4</v>
      </c>
      <c r="H745" s="3">
        <v>8.5</v>
      </c>
      <c r="I745" s="3">
        <v>34</v>
      </c>
      <c r="J745" t="s">
        <v>18</v>
      </c>
      <c r="K745">
        <v>7</v>
      </c>
      <c r="L745">
        <v>17</v>
      </c>
      <c r="M745" t="s">
        <v>19</v>
      </c>
      <c r="N745">
        <f t="shared" si="22"/>
        <v>34</v>
      </c>
      <c r="O745" t="b">
        <f t="shared" si="23"/>
        <v>1</v>
      </c>
    </row>
    <row r="746" spans="1:15">
      <c r="A746" t="s">
        <v>921</v>
      </c>
      <c r="B746" s="2">
        <v>46229</v>
      </c>
      <c r="C746" t="s">
        <v>489</v>
      </c>
      <c r="D746" t="s">
        <v>15</v>
      </c>
      <c r="E746" t="s">
        <v>103</v>
      </c>
      <c r="F746" t="s">
        <v>23</v>
      </c>
      <c r="G746">
        <v>1</v>
      </c>
      <c r="H746" s="3">
        <v>3.25</v>
      </c>
      <c r="I746" s="3">
        <v>3.25</v>
      </c>
      <c r="J746" t="s">
        <v>32</v>
      </c>
      <c r="K746">
        <v>25</v>
      </c>
      <c r="L746">
        <v>9</v>
      </c>
      <c r="M746" t="s">
        <v>19</v>
      </c>
      <c r="N746">
        <f t="shared" si="22"/>
        <v>3.25</v>
      </c>
      <c r="O746" t="b">
        <f t="shared" si="23"/>
        <v>1</v>
      </c>
    </row>
    <row r="747" spans="1:15">
      <c r="A747" t="s">
        <v>922</v>
      </c>
      <c r="B747" s="2">
        <v>46227</v>
      </c>
      <c r="C747" t="s">
        <v>220</v>
      </c>
      <c r="D747" t="s">
        <v>15</v>
      </c>
      <c r="E747" t="s">
        <v>103</v>
      </c>
      <c r="F747" t="s">
        <v>23</v>
      </c>
      <c r="G747">
        <v>1</v>
      </c>
      <c r="H747" s="3">
        <v>3.25</v>
      </c>
      <c r="I747" s="3">
        <v>3.25</v>
      </c>
      <c r="J747" t="s">
        <v>18</v>
      </c>
      <c r="K747">
        <v>25</v>
      </c>
      <c r="L747">
        <v>2</v>
      </c>
      <c r="M747" t="s">
        <v>19</v>
      </c>
      <c r="N747">
        <f t="shared" si="22"/>
        <v>3.25</v>
      </c>
      <c r="O747" t="b">
        <f t="shared" si="23"/>
        <v>1</v>
      </c>
    </row>
    <row r="748" spans="1:15">
      <c r="A748" t="s">
        <v>923</v>
      </c>
      <c r="B748" s="2">
        <v>46085</v>
      </c>
      <c r="C748" t="s">
        <v>165</v>
      </c>
      <c r="D748" t="s">
        <v>15</v>
      </c>
      <c r="E748" t="s">
        <v>50</v>
      </c>
      <c r="F748" t="s">
        <v>17</v>
      </c>
      <c r="G748">
        <v>1</v>
      </c>
      <c r="H748" s="3">
        <v>14.5</v>
      </c>
      <c r="I748" s="3">
        <v>0</v>
      </c>
      <c r="J748" t="s">
        <v>27</v>
      </c>
      <c r="K748">
        <v>22</v>
      </c>
      <c r="L748">
        <v>18</v>
      </c>
      <c r="M748" t="s">
        <v>152</v>
      </c>
      <c r="N748">
        <f t="shared" si="22"/>
        <v>14.5</v>
      </c>
      <c r="O748" t="b">
        <f t="shared" si="23"/>
        <v>1</v>
      </c>
    </row>
    <row r="749" spans="1:15">
      <c r="A749" t="s">
        <v>924</v>
      </c>
      <c r="B749" s="2">
        <v>46114</v>
      </c>
      <c r="C749" t="s">
        <v>271</v>
      </c>
      <c r="D749" t="s">
        <v>35</v>
      </c>
      <c r="E749" t="s">
        <v>50</v>
      </c>
      <c r="F749" t="s">
        <v>17</v>
      </c>
      <c r="G749">
        <v>1</v>
      </c>
      <c r="H749" s="3">
        <v>14.5</v>
      </c>
      <c r="I749" s="3">
        <v>14.5</v>
      </c>
      <c r="J749" t="s">
        <v>32</v>
      </c>
      <c r="K749">
        <v>4</v>
      </c>
      <c r="L749">
        <v>20</v>
      </c>
      <c r="M749" t="s">
        <v>19</v>
      </c>
      <c r="N749">
        <f t="shared" si="22"/>
        <v>14.5</v>
      </c>
      <c r="O749" t="b">
        <f t="shared" si="23"/>
        <v>1</v>
      </c>
    </row>
    <row r="750" spans="1:15">
      <c r="A750" t="s">
        <v>925</v>
      </c>
      <c r="B750" s="2">
        <v>46289</v>
      </c>
      <c r="C750" t="s">
        <v>205</v>
      </c>
      <c r="D750" t="s">
        <v>35</v>
      </c>
      <c r="E750" t="s">
        <v>126</v>
      </c>
      <c r="F750" t="s">
        <v>31</v>
      </c>
      <c r="G750">
        <v>2</v>
      </c>
      <c r="H750" s="3">
        <v>7.95</v>
      </c>
      <c r="I750" s="3">
        <v>15.9</v>
      </c>
      <c r="J750" t="s">
        <v>53</v>
      </c>
      <c r="K750">
        <v>26</v>
      </c>
      <c r="L750">
        <v>12</v>
      </c>
      <c r="M750" t="s">
        <v>19</v>
      </c>
      <c r="N750">
        <f t="shared" si="22"/>
        <v>15.9</v>
      </c>
      <c r="O750" t="b">
        <f t="shared" si="23"/>
        <v>1</v>
      </c>
    </row>
    <row r="751" spans="1:15">
      <c r="A751" t="s">
        <v>926</v>
      </c>
      <c r="B751" s="2">
        <v>46032</v>
      </c>
      <c r="C751" t="s">
        <v>297</v>
      </c>
      <c r="D751" t="s">
        <v>35</v>
      </c>
      <c r="E751" t="s">
        <v>59</v>
      </c>
      <c r="F751" t="s">
        <v>17</v>
      </c>
      <c r="G751">
        <v>1</v>
      </c>
      <c r="H751" s="3">
        <v>11.95</v>
      </c>
      <c r="I751" s="3">
        <v>11.95</v>
      </c>
      <c r="J751" t="s">
        <v>18</v>
      </c>
      <c r="K751">
        <v>28</v>
      </c>
      <c r="L751">
        <v>19</v>
      </c>
      <c r="M751" t="s">
        <v>19</v>
      </c>
      <c r="N751">
        <f t="shared" si="22"/>
        <v>11.95</v>
      </c>
      <c r="O751" t="b">
        <f t="shared" si="23"/>
        <v>1</v>
      </c>
    </row>
    <row r="752" spans="1:15">
      <c r="A752" t="s">
        <v>927</v>
      </c>
      <c r="B752" s="2">
        <v>46258</v>
      </c>
      <c r="C752" t="s">
        <v>108</v>
      </c>
      <c r="D752" t="s">
        <v>15</v>
      </c>
      <c r="E752" t="s">
        <v>126</v>
      </c>
      <c r="F752" t="s">
        <v>31</v>
      </c>
      <c r="G752">
        <v>3</v>
      </c>
      <c r="H752" s="3">
        <v>7.95</v>
      </c>
      <c r="I752" s="3">
        <v>23.85</v>
      </c>
      <c r="J752" t="s">
        <v>18</v>
      </c>
      <c r="K752">
        <v>23</v>
      </c>
      <c r="L752">
        <v>12</v>
      </c>
      <c r="M752" t="s">
        <v>19</v>
      </c>
      <c r="N752">
        <f t="shared" si="22"/>
        <v>23.85</v>
      </c>
      <c r="O752" t="b">
        <f t="shared" si="23"/>
        <v>1</v>
      </c>
    </row>
    <row r="753" spans="1:15">
      <c r="A753" t="s">
        <v>928</v>
      </c>
      <c r="B753" s="2">
        <v>46079</v>
      </c>
      <c r="C753" t="s">
        <v>137</v>
      </c>
      <c r="D753" t="s">
        <v>35</v>
      </c>
      <c r="E753" t="s">
        <v>36</v>
      </c>
      <c r="F753" t="s">
        <v>23</v>
      </c>
      <c r="G753">
        <v>2</v>
      </c>
      <c r="H753" s="3">
        <v>2.8</v>
      </c>
      <c r="I753" s="3">
        <v>5.6</v>
      </c>
      <c r="J753" t="s">
        <v>18</v>
      </c>
      <c r="K753">
        <v>16</v>
      </c>
      <c r="L753">
        <v>13</v>
      </c>
      <c r="M753" t="s">
        <v>19</v>
      </c>
      <c r="N753">
        <f t="shared" si="22"/>
        <v>5.6</v>
      </c>
      <c r="O753" t="b">
        <f t="shared" si="23"/>
        <v>1</v>
      </c>
    </row>
    <row r="754" spans="1:15">
      <c r="A754" t="s">
        <v>929</v>
      </c>
      <c r="B754" s="2">
        <v>46103</v>
      </c>
      <c r="C754" t="s">
        <v>195</v>
      </c>
      <c r="D754" t="s">
        <v>35</v>
      </c>
      <c r="E754" t="s">
        <v>103</v>
      </c>
      <c r="F754" t="s">
        <v>23</v>
      </c>
      <c r="G754">
        <v>2</v>
      </c>
      <c r="H754" s="3">
        <v>3.25</v>
      </c>
      <c r="I754" s="3">
        <v>6.5</v>
      </c>
      <c r="J754" t="s">
        <v>27</v>
      </c>
      <c r="K754">
        <v>10</v>
      </c>
      <c r="L754">
        <v>8</v>
      </c>
      <c r="M754" t="s">
        <v>19</v>
      </c>
      <c r="N754">
        <f t="shared" si="22"/>
        <v>6.5</v>
      </c>
      <c r="O754" t="b">
        <f t="shared" si="23"/>
        <v>1</v>
      </c>
    </row>
    <row r="755" spans="1:15">
      <c r="A755" t="s">
        <v>930</v>
      </c>
      <c r="B755" s="2">
        <v>46037</v>
      </c>
      <c r="C755" t="s">
        <v>245</v>
      </c>
      <c r="D755" t="s">
        <v>35</v>
      </c>
      <c r="E755" t="s">
        <v>30</v>
      </c>
      <c r="F755" t="s">
        <v>31</v>
      </c>
      <c r="G755">
        <v>2</v>
      </c>
      <c r="H755" s="3">
        <v>8.5</v>
      </c>
      <c r="I755" s="3">
        <v>17</v>
      </c>
      <c r="J755" t="s">
        <v>32</v>
      </c>
      <c r="K755">
        <v>1</v>
      </c>
      <c r="L755">
        <v>16</v>
      </c>
      <c r="M755" t="s">
        <v>19</v>
      </c>
      <c r="N755">
        <f t="shared" si="22"/>
        <v>17</v>
      </c>
      <c r="O755" t="b">
        <f t="shared" si="23"/>
        <v>1</v>
      </c>
    </row>
    <row r="756" spans="1:15">
      <c r="A756" t="s">
        <v>931</v>
      </c>
      <c r="B756" s="2">
        <v>46197</v>
      </c>
      <c r="C756" t="s">
        <v>180</v>
      </c>
      <c r="D756" t="s">
        <v>35</v>
      </c>
      <c r="E756" t="s">
        <v>30</v>
      </c>
      <c r="F756" t="s">
        <v>31</v>
      </c>
      <c r="G756">
        <v>1</v>
      </c>
      <c r="H756" s="3">
        <v>8.5</v>
      </c>
      <c r="I756" s="3">
        <v>8.5</v>
      </c>
      <c r="J756" t="s">
        <v>27</v>
      </c>
      <c r="K756">
        <v>21</v>
      </c>
      <c r="L756">
        <v>17</v>
      </c>
      <c r="M756" t="s">
        <v>19</v>
      </c>
      <c r="N756">
        <f t="shared" si="22"/>
        <v>8.5</v>
      </c>
      <c r="O756" t="b">
        <f t="shared" si="23"/>
        <v>1</v>
      </c>
    </row>
    <row r="757" spans="1:15">
      <c r="A757" t="s">
        <v>932</v>
      </c>
      <c r="B757" s="2">
        <v>46066</v>
      </c>
      <c r="C757" t="s">
        <v>431</v>
      </c>
      <c r="D757" t="s">
        <v>35</v>
      </c>
      <c r="E757" t="s">
        <v>59</v>
      </c>
      <c r="F757" t="s">
        <v>17</v>
      </c>
      <c r="G757">
        <v>1</v>
      </c>
      <c r="H757" s="3">
        <v>11.95</v>
      </c>
      <c r="I757" s="3">
        <v>11.95</v>
      </c>
      <c r="J757" t="s">
        <v>27</v>
      </c>
      <c r="K757">
        <v>18</v>
      </c>
      <c r="L757">
        <v>16</v>
      </c>
      <c r="M757" t="s">
        <v>19</v>
      </c>
      <c r="N757">
        <f t="shared" si="22"/>
        <v>11.95</v>
      </c>
      <c r="O757" t="b">
        <f t="shared" si="23"/>
        <v>1</v>
      </c>
    </row>
    <row r="758" spans="1:15">
      <c r="A758" t="s">
        <v>933</v>
      </c>
      <c r="B758" s="2">
        <v>46258</v>
      </c>
      <c r="C758" t="s">
        <v>52</v>
      </c>
      <c r="D758" t="s">
        <v>35</v>
      </c>
      <c r="E758" t="s">
        <v>22</v>
      </c>
      <c r="F758" t="s">
        <v>23</v>
      </c>
      <c r="G758">
        <v>3</v>
      </c>
      <c r="H758" s="3">
        <v>3.1</v>
      </c>
      <c r="I758" s="3">
        <v>9.3000000000000007</v>
      </c>
      <c r="J758" t="s">
        <v>53</v>
      </c>
      <c r="K758">
        <v>1</v>
      </c>
      <c r="L758">
        <v>19</v>
      </c>
      <c r="M758" t="s">
        <v>19</v>
      </c>
      <c r="N758">
        <f t="shared" si="22"/>
        <v>9.3000000000000007</v>
      </c>
      <c r="O758" t="b">
        <f t="shared" si="23"/>
        <v>1</v>
      </c>
    </row>
    <row r="759" spans="1:15">
      <c r="A759" t="s">
        <v>934</v>
      </c>
      <c r="B759" s="2">
        <v>46216</v>
      </c>
      <c r="C759" t="s">
        <v>273</v>
      </c>
      <c r="D759" t="s">
        <v>35</v>
      </c>
      <c r="E759" t="s">
        <v>59</v>
      </c>
      <c r="F759" t="s">
        <v>17</v>
      </c>
      <c r="G759">
        <v>2</v>
      </c>
      <c r="H759" s="3">
        <v>11.95</v>
      </c>
      <c r="I759" s="3">
        <v>23.9</v>
      </c>
      <c r="J759" t="s">
        <v>18</v>
      </c>
      <c r="K759">
        <v>23</v>
      </c>
      <c r="L759">
        <v>20</v>
      </c>
      <c r="M759" t="s">
        <v>19</v>
      </c>
      <c r="N759">
        <f t="shared" si="22"/>
        <v>23.9</v>
      </c>
      <c r="O759" t="b">
        <f t="shared" si="23"/>
        <v>1</v>
      </c>
    </row>
    <row r="760" spans="1:15">
      <c r="A760" t="s">
        <v>935</v>
      </c>
      <c r="B760" s="2">
        <v>46195</v>
      </c>
      <c r="C760" t="s">
        <v>271</v>
      </c>
      <c r="D760" t="s">
        <v>35</v>
      </c>
      <c r="E760" t="s">
        <v>106</v>
      </c>
      <c r="F760" t="s">
        <v>17</v>
      </c>
      <c r="G760">
        <v>2</v>
      </c>
      <c r="H760" s="3">
        <v>15.95</v>
      </c>
      <c r="I760" s="3">
        <v>31.9</v>
      </c>
      <c r="J760" t="s">
        <v>32</v>
      </c>
      <c r="K760">
        <v>21</v>
      </c>
      <c r="L760">
        <v>23</v>
      </c>
      <c r="M760" t="s">
        <v>19</v>
      </c>
      <c r="N760">
        <f t="shared" si="22"/>
        <v>31.9</v>
      </c>
      <c r="O760" t="b">
        <f t="shared" si="23"/>
        <v>1</v>
      </c>
    </row>
    <row r="761" spans="1:15">
      <c r="A761" t="s">
        <v>936</v>
      </c>
      <c r="B761" s="2">
        <v>46061</v>
      </c>
      <c r="C761" t="s">
        <v>156</v>
      </c>
      <c r="D761" t="s">
        <v>35</v>
      </c>
      <c r="E761" t="s">
        <v>126</v>
      </c>
      <c r="F761" t="s">
        <v>31</v>
      </c>
      <c r="G761">
        <v>1</v>
      </c>
      <c r="H761" s="3">
        <v>7.95</v>
      </c>
      <c r="I761" s="3">
        <v>7.95</v>
      </c>
      <c r="J761" t="s">
        <v>18</v>
      </c>
      <c r="K761">
        <v>19</v>
      </c>
      <c r="L761">
        <v>19</v>
      </c>
      <c r="M761" t="s">
        <v>19</v>
      </c>
      <c r="N761">
        <f t="shared" si="22"/>
        <v>7.95</v>
      </c>
      <c r="O761" t="b">
        <f t="shared" si="23"/>
        <v>1</v>
      </c>
    </row>
    <row r="762" spans="1:15">
      <c r="A762" t="s">
        <v>937</v>
      </c>
      <c r="B762" s="2">
        <v>46138</v>
      </c>
      <c r="C762" t="s">
        <v>314</v>
      </c>
      <c r="D762" t="s">
        <v>35</v>
      </c>
      <c r="E762" t="s">
        <v>121</v>
      </c>
      <c r="F762" t="s">
        <v>23</v>
      </c>
      <c r="G762">
        <v>1</v>
      </c>
      <c r="H762" s="3">
        <v>6.5</v>
      </c>
      <c r="I762" s="3">
        <v>6.5</v>
      </c>
      <c r="J762" t="s">
        <v>18</v>
      </c>
      <c r="K762">
        <v>17</v>
      </c>
      <c r="L762">
        <v>11</v>
      </c>
      <c r="M762" t="s">
        <v>19</v>
      </c>
      <c r="N762">
        <f t="shared" si="22"/>
        <v>6.5</v>
      </c>
      <c r="O762" t="b">
        <f t="shared" si="23"/>
        <v>1</v>
      </c>
    </row>
    <row r="763" spans="1:15">
      <c r="A763" t="s">
        <v>938</v>
      </c>
      <c r="B763" s="2">
        <v>46130</v>
      </c>
      <c r="C763" t="s">
        <v>154</v>
      </c>
      <c r="D763" t="s">
        <v>15</v>
      </c>
      <c r="E763" t="s">
        <v>126</v>
      </c>
      <c r="F763" t="s">
        <v>31</v>
      </c>
      <c r="G763">
        <v>1</v>
      </c>
      <c r="H763" s="3">
        <v>7.95</v>
      </c>
      <c r="I763" s="3">
        <v>7.95</v>
      </c>
      <c r="J763" t="s">
        <v>18</v>
      </c>
      <c r="K763">
        <v>14</v>
      </c>
      <c r="L763">
        <v>23</v>
      </c>
      <c r="M763" t="s">
        <v>19</v>
      </c>
      <c r="N763">
        <f t="shared" si="22"/>
        <v>7.95</v>
      </c>
      <c r="O763" t="b">
        <f t="shared" si="23"/>
        <v>1</v>
      </c>
    </row>
    <row r="764" spans="1:15">
      <c r="A764" t="s">
        <v>939</v>
      </c>
      <c r="B764" s="2">
        <v>46183</v>
      </c>
      <c r="C764" t="s">
        <v>43</v>
      </c>
      <c r="D764" t="s">
        <v>15</v>
      </c>
      <c r="E764" t="s">
        <v>56</v>
      </c>
      <c r="F764" t="s">
        <v>23</v>
      </c>
      <c r="G764">
        <v>1</v>
      </c>
      <c r="H764" s="3">
        <v>3.75</v>
      </c>
      <c r="I764" s="3">
        <v>3.75</v>
      </c>
      <c r="J764" t="s">
        <v>18</v>
      </c>
      <c r="K764">
        <v>1</v>
      </c>
      <c r="L764">
        <v>9</v>
      </c>
      <c r="M764" t="s">
        <v>19</v>
      </c>
      <c r="N764">
        <f t="shared" si="22"/>
        <v>3.75</v>
      </c>
      <c r="O764" t="b">
        <f t="shared" si="23"/>
        <v>1</v>
      </c>
    </row>
    <row r="765" spans="1:15">
      <c r="A765" t="s">
        <v>940</v>
      </c>
      <c r="B765" s="2">
        <v>46287</v>
      </c>
      <c r="C765" t="s">
        <v>139</v>
      </c>
      <c r="D765" t="s">
        <v>35</v>
      </c>
      <c r="E765" t="s">
        <v>70</v>
      </c>
      <c r="F765" t="s">
        <v>17</v>
      </c>
      <c r="G765">
        <v>2</v>
      </c>
      <c r="H765" s="3">
        <v>12.5</v>
      </c>
      <c r="I765" s="3">
        <v>0</v>
      </c>
      <c r="J765" t="s">
        <v>27</v>
      </c>
      <c r="K765">
        <v>15</v>
      </c>
      <c r="L765">
        <v>16</v>
      </c>
      <c r="M765" t="s">
        <v>152</v>
      </c>
      <c r="N765">
        <f t="shared" si="22"/>
        <v>25</v>
      </c>
      <c r="O765" t="b">
        <f t="shared" si="23"/>
        <v>1</v>
      </c>
    </row>
    <row r="766" spans="1:15">
      <c r="A766" t="s">
        <v>941</v>
      </c>
      <c r="B766" s="2">
        <v>46295</v>
      </c>
      <c r="C766" t="s">
        <v>52</v>
      </c>
      <c r="D766" t="s">
        <v>35</v>
      </c>
      <c r="E766" t="s">
        <v>83</v>
      </c>
      <c r="F766" t="s">
        <v>17</v>
      </c>
      <c r="G766">
        <v>1</v>
      </c>
      <c r="H766" s="3">
        <v>13.5</v>
      </c>
      <c r="I766" s="3">
        <v>13.5</v>
      </c>
      <c r="J766" t="s">
        <v>18</v>
      </c>
      <c r="K766">
        <v>24</v>
      </c>
      <c r="L766">
        <v>15</v>
      </c>
      <c r="M766" t="s">
        <v>19</v>
      </c>
      <c r="N766">
        <f t="shared" si="22"/>
        <v>13.5</v>
      </c>
      <c r="O766" t="b">
        <f t="shared" si="23"/>
        <v>1</v>
      </c>
    </row>
    <row r="767" spans="1:15">
      <c r="A767" t="s">
        <v>942</v>
      </c>
      <c r="B767" s="2">
        <v>46176</v>
      </c>
      <c r="C767" t="s">
        <v>180</v>
      </c>
      <c r="D767" t="s">
        <v>35</v>
      </c>
      <c r="E767" t="s">
        <v>39</v>
      </c>
      <c r="F767" t="s">
        <v>17</v>
      </c>
      <c r="G767">
        <v>2</v>
      </c>
      <c r="H767" s="3">
        <v>12.95</v>
      </c>
      <c r="I767" s="3">
        <v>25.9</v>
      </c>
      <c r="J767" t="s">
        <v>32</v>
      </c>
      <c r="K767">
        <v>9</v>
      </c>
      <c r="L767">
        <v>21</v>
      </c>
      <c r="M767" t="s">
        <v>19</v>
      </c>
      <c r="N767">
        <f t="shared" si="22"/>
        <v>25.9</v>
      </c>
      <c r="O767" t="b">
        <f t="shared" si="23"/>
        <v>1</v>
      </c>
    </row>
    <row r="768" spans="1:15">
      <c r="A768" t="s">
        <v>943</v>
      </c>
      <c r="B768" s="2">
        <v>46105</v>
      </c>
      <c r="C768" t="s">
        <v>202</v>
      </c>
      <c r="D768" t="s">
        <v>15</v>
      </c>
      <c r="E768" t="s">
        <v>46</v>
      </c>
      <c r="F768" t="s">
        <v>47</v>
      </c>
      <c r="G768">
        <v>1</v>
      </c>
      <c r="H768" s="3">
        <v>6.95</v>
      </c>
      <c r="I768" s="3">
        <v>6.95</v>
      </c>
      <c r="J768" t="s">
        <v>27</v>
      </c>
      <c r="K768">
        <v>27</v>
      </c>
      <c r="L768">
        <v>17</v>
      </c>
      <c r="M768" t="s">
        <v>19</v>
      </c>
      <c r="N768">
        <f t="shared" si="22"/>
        <v>6.95</v>
      </c>
      <c r="O768" t="b">
        <f t="shared" si="23"/>
        <v>1</v>
      </c>
    </row>
    <row r="769" spans="1:15">
      <c r="A769" t="s">
        <v>944</v>
      </c>
      <c r="B769" s="2">
        <v>46271</v>
      </c>
      <c r="C769" t="s">
        <v>212</v>
      </c>
      <c r="D769" t="s">
        <v>35</v>
      </c>
      <c r="E769" t="s">
        <v>83</v>
      </c>
      <c r="F769" t="s">
        <v>17</v>
      </c>
      <c r="G769">
        <v>1</v>
      </c>
      <c r="H769" s="3">
        <v>13.5</v>
      </c>
      <c r="I769" s="3">
        <v>13.5</v>
      </c>
      <c r="J769" t="s">
        <v>27</v>
      </c>
      <c r="K769">
        <v>5</v>
      </c>
      <c r="L769">
        <v>24</v>
      </c>
      <c r="M769" t="s">
        <v>19</v>
      </c>
      <c r="N769">
        <f t="shared" si="22"/>
        <v>13.5</v>
      </c>
      <c r="O769" t="b">
        <f t="shared" si="23"/>
        <v>1</v>
      </c>
    </row>
    <row r="770" spans="1:15">
      <c r="A770" t="s">
        <v>945</v>
      </c>
      <c r="B770" s="2">
        <v>46165</v>
      </c>
      <c r="C770" t="s">
        <v>110</v>
      </c>
      <c r="D770" t="s">
        <v>35</v>
      </c>
      <c r="E770" t="s">
        <v>83</v>
      </c>
      <c r="F770" t="s">
        <v>17</v>
      </c>
      <c r="G770">
        <v>3</v>
      </c>
      <c r="H770" s="3">
        <v>13.5</v>
      </c>
      <c r="I770" s="3">
        <v>40.5</v>
      </c>
      <c r="J770" t="s">
        <v>27</v>
      </c>
      <c r="K770">
        <v>29</v>
      </c>
      <c r="L770">
        <v>20</v>
      </c>
      <c r="M770" t="s">
        <v>19</v>
      </c>
      <c r="N770">
        <f t="shared" ref="N770:N833" si="24">G770*H770</f>
        <v>40.5</v>
      </c>
      <c r="O770" t="b">
        <f t="shared" ref="O770:O833" si="25">OR(AND(M770="Completed",I770=N770),AND(M770="Refunded",ABS(I770)=N770),AND(M770="Cancelled",I770=0))</f>
        <v>1</v>
      </c>
    </row>
    <row r="771" spans="1:15">
      <c r="A771" t="s">
        <v>946</v>
      </c>
      <c r="B771" s="2">
        <v>46175</v>
      </c>
      <c r="C771" t="s">
        <v>180</v>
      </c>
      <c r="D771" t="s">
        <v>35</v>
      </c>
      <c r="E771" t="s">
        <v>39</v>
      </c>
      <c r="F771" t="s">
        <v>17</v>
      </c>
      <c r="G771">
        <v>1</v>
      </c>
      <c r="H771" s="3">
        <v>12.95</v>
      </c>
      <c r="I771" s="3">
        <v>12.95</v>
      </c>
      <c r="J771" t="s">
        <v>27</v>
      </c>
      <c r="K771">
        <v>27</v>
      </c>
      <c r="L771">
        <v>18</v>
      </c>
      <c r="M771" t="s">
        <v>19</v>
      </c>
      <c r="N771">
        <f t="shared" si="24"/>
        <v>12.95</v>
      </c>
      <c r="O771" t="b">
        <f t="shared" si="25"/>
        <v>1</v>
      </c>
    </row>
    <row r="772" spans="1:15">
      <c r="A772" t="s">
        <v>947</v>
      </c>
      <c r="B772" s="2">
        <v>46080</v>
      </c>
      <c r="C772" t="s">
        <v>82</v>
      </c>
      <c r="D772" t="s">
        <v>35</v>
      </c>
      <c r="E772" t="s">
        <v>22</v>
      </c>
      <c r="F772" t="s">
        <v>23</v>
      </c>
      <c r="G772">
        <v>2</v>
      </c>
      <c r="H772" s="3">
        <v>3.1</v>
      </c>
      <c r="I772" s="3">
        <v>6.2</v>
      </c>
      <c r="J772" t="s">
        <v>18</v>
      </c>
      <c r="K772">
        <v>9</v>
      </c>
      <c r="L772">
        <v>26</v>
      </c>
      <c r="M772" t="s">
        <v>19</v>
      </c>
      <c r="N772">
        <f t="shared" si="24"/>
        <v>6.2</v>
      </c>
      <c r="O772" t="b">
        <f t="shared" si="25"/>
        <v>1</v>
      </c>
    </row>
    <row r="773" spans="1:15">
      <c r="A773" t="s">
        <v>948</v>
      </c>
      <c r="B773" s="2">
        <v>46069</v>
      </c>
      <c r="C773" t="s">
        <v>45</v>
      </c>
      <c r="D773" t="s">
        <v>15</v>
      </c>
      <c r="E773" t="s">
        <v>93</v>
      </c>
      <c r="F773" t="s">
        <v>31</v>
      </c>
      <c r="G773">
        <v>2</v>
      </c>
      <c r="H773" s="3">
        <v>6.25</v>
      </c>
      <c r="I773" s="3">
        <v>0</v>
      </c>
      <c r="J773" t="s">
        <v>32</v>
      </c>
      <c r="K773">
        <v>13</v>
      </c>
      <c r="L773">
        <v>11</v>
      </c>
      <c r="M773" t="s">
        <v>152</v>
      </c>
      <c r="N773">
        <f t="shared" si="24"/>
        <v>12.5</v>
      </c>
      <c r="O773" t="b">
        <f t="shared" si="25"/>
        <v>1</v>
      </c>
    </row>
    <row r="774" spans="1:15">
      <c r="A774" t="s">
        <v>949</v>
      </c>
      <c r="B774" s="2">
        <v>46143</v>
      </c>
      <c r="C774" t="s">
        <v>85</v>
      </c>
      <c r="D774" t="s">
        <v>35</v>
      </c>
      <c r="E774" t="s">
        <v>59</v>
      </c>
      <c r="F774" t="s">
        <v>17</v>
      </c>
      <c r="G774">
        <v>1</v>
      </c>
      <c r="H774" s="3">
        <v>11.95</v>
      </c>
      <c r="I774" s="3">
        <v>11.95</v>
      </c>
      <c r="J774" t="s">
        <v>27</v>
      </c>
      <c r="K774">
        <v>19</v>
      </c>
      <c r="L774">
        <v>15</v>
      </c>
      <c r="M774" t="s">
        <v>19</v>
      </c>
      <c r="N774">
        <f t="shared" si="24"/>
        <v>11.95</v>
      </c>
      <c r="O774" t="b">
        <f t="shared" si="25"/>
        <v>1</v>
      </c>
    </row>
    <row r="775" spans="1:15">
      <c r="A775" t="s">
        <v>950</v>
      </c>
      <c r="B775" s="2">
        <v>46214</v>
      </c>
      <c r="C775" t="s">
        <v>493</v>
      </c>
      <c r="D775" t="s">
        <v>35</v>
      </c>
      <c r="E775" t="s">
        <v>36</v>
      </c>
      <c r="F775" t="s">
        <v>23</v>
      </c>
      <c r="G775">
        <v>1</v>
      </c>
      <c r="H775" s="3">
        <v>2.8</v>
      </c>
      <c r="I775" s="3">
        <v>2.8</v>
      </c>
      <c r="J775" t="s">
        <v>53</v>
      </c>
      <c r="K775">
        <v>8</v>
      </c>
      <c r="L775">
        <v>14</v>
      </c>
      <c r="M775" t="s">
        <v>19</v>
      </c>
      <c r="N775">
        <f t="shared" si="24"/>
        <v>2.8</v>
      </c>
      <c r="O775" t="b">
        <f t="shared" si="25"/>
        <v>1</v>
      </c>
    </row>
    <row r="776" spans="1:15">
      <c r="A776" t="s">
        <v>951</v>
      </c>
      <c r="B776" s="2">
        <v>46097</v>
      </c>
      <c r="C776" t="s">
        <v>465</v>
      </c>
      <c r="D776" t="s">
        <v>15</v>
      </c>
      <c r="E776" t="s">
        <v>26</v>
      </c>
      <c r="F776" t="s">
        <v>17</v>
      </c>
      <c r="G776">
        <v>2</v>
      </c>
      <c r="H776" s="3">
        <v>11.5</v>
      </c>
      <c r="I776" s="3">
        <v>23</v>
      </c>
      <c r="J776" t="s">
        <v>53</v>
      </c>
      <c r="K776">
        <v>26</v>
      </c>
      <c r="L776">
        <v>25</v>
      </c>
      <c r="M776" t="s">
        <v>19</v>
      </c>
      <c r="N776">
        <f t="shared" si="24"/>
        <v>23</v>
      </c>
      <c r="O776" t="b">
        <f t="shared" si="25"/>
        <v>1</v>
      </c>
    </row>
    <row r="777" spans="1:15">
      <c r="A777" t="s">
        <v>952</v>
      </c>
      <c r="B777" s="2">
        <v>46145</v>
      </c>
      <c r="C777" t="s">
        <v>43</v>
      </c>
      <c r="D777" t="s">
        <v>15</v>
      </c>
      <c r="E777" t="s">
        <v>30</v>
      </c>
      <c r="F777" t="s">
        <v>31</v>
      </c>
      <c r="G777">
        <v>3</v>
      </c>
      <c r="H777" s="3">
        <v>8.5</v>
      </c>
      <c r="I777" s="3">
        <v>25.5</v>
      </c>
      <c r="J777" t="s">
        <v>18</v>
      </c>
      <c r="K777">
        <v>4</v>
      </c>
      <c r="L777">
        <v>18</v>
      </c>
      <c r="M777" t="s">
        <v>19</v>
      </c>
      <c r="N777">
        <f t="shared" si="24"/>
        <v>25.5</v>
      </c>
      <c r="O777" t="b">
        <f t="shared" si="25"/>
        <v>1</v>
      </c>
    </row>
    <row r="778" spans="1:15">
      <c r="A778" t="s">
        <v>953</v>
      </c>
      <c r="B778" s="2">
        <v>46144</v>
      </c>
      <c r="C778" t="s">
        <v>66</v>
      </c>
      <c r="D778" t="s">
        <v>35</v>
      </c>
      <c r="E778" t="s">
        <v>46</v>
      </c>
      <c r="F778" t="s">
        <v>47</v>
      </c>
      <c r="G778">
        <v>3</v>
      </c>
      <c r="H778" s="3">
        <v>6.95</v>
      </c>
      <c r="I778" s="3">
        <v>20.85</v>
      </c>
      <c r="J778" t="s">
        <v>27</v>
      </c>
      <c r="K778">
        <v>25</v>
      </c>
      <c r="L778">
        <v>15</v>
      </c>
      <c r="M778" t="s">
        <v>19</v>
      </c>
      <c r="N778">
        <f t="shared" si="24"/>
        <v>20.85</v>
      </c>
      <c r="O778" t="b">
        <f t="shared" si="25"/>
        <v>1</v>
      </c>
    </row>
    <row r="779" spans="1:15">
      <c r="A779" t="s">
        <v>954</v>
      </c>
      <c r="B779" s="2">
        <v>46130</v>
      </c>
      <c r="C779" t="s">
        <v>167</v>
      </c>
      <c r="D779" t="s">
        <v>35</v>
      </c>
      <c r="E779" t="s">
        <v>93</v>
      </c>
      <c r="F779" t="s">
        <v>31</v>
      </c>
      <c r="G779">
        <v>2</v>
      </c>
      <c r="H779" s="3">
        <v>6.25</v>
      </c>
      <c r="I779" s="3">
        <v>-12.5</v>
      </c>
      <c r="J779" t="s">
        <v>18</v>
      </c>
      <c r="K779">
        <v>21</v>
      </c>
      <c r="L779">
        <v>33</v>
      </c>
      <c r="M779" t="s">
        <v>62</v>
      </c>
      <c r="N779">
        <f t="shared" si="24"/>
        <v>12.5</v>
      </c>
      <c r="O779" t="b">
        <f t="shared" si="25"/>
        <v>1</v>
      </c>
    </row>
    <row r="780" spans="1:15">
      <c r="A780" t="s">
        <v>955</v>
      </c>
      <c r="B780" s="2">
        <v>46040</v>
      </c>
      <c r="C780" t="s">
        <v>222</v>
      </c>
      <c r="D780" t="s">
        <v>15</v>
      </c>
      <c r="E780" t="s">
        <v>103</v>
      </c>
      <c r="F780" t="s">
        <v>23</v>
      </c>
      <c r="G780">
        <v>2</v>
      </c>
      <c r="H780" s="3">
        <v>3.25</v>
      </c>
      <c r="I780" s="3">
        <v>6.5</v>
      </c>
      <c r="J780" t="s">
        <v>27</v>
      </c>
      <c r="K780">
        <v>27</v>
      </c>
      <c r="L780">
        <v>6</v>
      </c>
      <c r="M780" t="s">
        <v>19</v>
      </c>
      <c r="N780">
        <f t="shared" si="24"/>
        <v>6.5</v>
      </c>
      <c r="O780" t="b">
        <f t="shared" si="25"/>
        <v>1</v>
      </c>
    </row>
    <row r="781" spans="1:15">
      <c r="A781" t="s">
        <v>956</v>
      </c>
      <c r="B781" s="2">
        <v>46105</v>
      </c>
      <c r="C781" t="s">
        <v>82</v>
      </c>
      <c r="D781" t="s">
        <v>35</v>
      </c>
      <c r="E781" t="s">
        <v>30</v>
      </c>
      <c r="F781" t="s">
        <v>31</v>
      </c>
      <c r="G781">
        <v>1</v>
      </c>
      <c r="H781" s="3">
        <v>8.5</v>
      </c>
      <c r="I781" s="3">
        <v>8.5</v>
      </c>
      <c r="J781" t="s">
        <v>18</v>
      </c>
      <c r="K781">
        <v>27</v>
      </c>
      <c r="L781">
        <v>7</v>
      </c>
      <c r="M781" t="s">
        <v>19</v>
      </c>
      <c r="N781">
        <f t="shared" si="24"/>
        <v>8.5</v>
      </c>
      <c r="O781" t="b">
        <f t="shared" si="25"/>
        <v>1</v>
      </c>
    </row>
    <row r="782" spans="1:15">
      <c r="A782" t="s">
        <v>957</v>
      </c>
      <c r="B782" s="2">
        <v>46190</v>
      </c>
      <c r="C782" t="s">
        <v>95</v>
      </c>
      <c r="D782" t="s">
        <v>35</v>
      </c>
      <c r="E782" t="s">
        <v>106</v>
      </c>
      <c r="F782" t="s">
        <v>17</v>
      </c>
      <c r="G782">
        <v>2</v>
      </c>
      <c r="H782" s="3">
        <v>15.95</v>
      </c>
      <c r="I782" s="3">
        <v>31.9</v>
      </c>
      <c r="J782" t="s">
        <v>27</v>
      </c>
      <c r="K782">
        <v>21</v>
      </c>
      <c r="L782">
        <v>23</v>
      </c>
      <c r="M782" t="s">
        <v>19</v>
      </c>
      <c r="N782">
        <f t="shared" si="24"/>
        <v>31.9</v>
      </c>
      <c r="O782" t="b">
        <f t="shared" si="25"/>
        <v>1</v>
      </c>
    </row>
    <row r="783" spans="1:15">
      <c r="A783" t="s">
        <v>958</v>
      </c>
      <c r="B783" s="2">
        <v>46065</v>
      </c>
      <c r="C783" t="s">
        <v>108</v>
      </c>
      <c r="D783" t="s">
        <v>15</v>
      </c>
      <c r="E783" t="s">
        <v>50</v>
      </c>
      <c r="F783" t="s">
        <v>17</v>
      </c>
      <c r="G783">
        <v>2</v>
      </c>
      <c r="H783" s="3">
        <v>14.5</v>
      </c>
      <c r="I783" s="3">
        <v>29</v>
      </c>
      <c r="J783" t="s">
        <v>32</v>
      </c>
      <c r="K783">
        <v>14</v>
      </c>
      <c r="L783">
        <v>20</v>
      </c>
      <c r="M783" t="s">
        <v>19</v>
      </c>
      <c r="N783">
        <f t="shared" si="24"/>
        <v>29</v>
      </c>
      <c r="O783" t="b">
        <f t="shared" si="25"/>
        <v>1</v>
      </c>
    </row>
    <row r="784" spans="1:15">
      <c r="A784" t="s">
        <v>959</v>
      </c>
      <c r="B784" s="2">
        <v>46186</v>
      </c>
      <c r="C784" t="s">
        <v>112</v>
      </c>
      <c r="D784" t="s">
        <v>35</v>
      </c>
      <c r="E784" t="s">
        <v>41</v>
      </c>
      <c r="F784" t="s">
        <v>31</v>
      </c>
      <c r="G784">
        <v>1</v>
      </c>
      <c r="H784" s="3">
        <v>5.5</v>
      </c>
      <c r="I784" s="3">
        <v>5.5</v>
      </c>
      <c r="J784" t="s">
        <v>27</v>
      </c>
      <c r="K784">
        <v>7</v>
      </c>
      <c r="L784">
        <v>24</v>
      </c>
      <c r="M784" t="s">
        <v>19</v>
      </c>
      <c r="N784">
        <f t="shared" si="24"/>
        <v>5.5</v>
      </c>
      <c r="O784" t="b">
        <f t="shared" si="25"/>
        <v>1</v>
      </c>
    </row>
    <row r="785" spans="1:15">
      <c r="A785" t="s">
        <v>960</v>
      </c>
      <c r="B785" s="2">
        <v>46211</v>
      </c>
      <c r="C785" t="s">
        <v>307</v>
      </c>
      <c r="D785" t="s">
        <v>15</v>
      </c>
      <c r="E785" t="s">
        <v>16</v>
      </c>
      <c r="F785" t="s">
        <v>17</v>
      </c>
      <c r="G785">
        <v>1</v>
      </c>
      <c r="H785" s="3">
        <v>9.9499999999999993</v>
      </c>
      <c r="I785" s="3">
        <v>9.9499999999999993</v>
      </c>
      <c r="J785" t="s">
        <v>18</v>
      </c>
      <c r="K785">
        <v>30</v>
      </c>
      <c r="L785">
        <v>6</v>
      </c>
      <c r="M785" t="s">
        <v>19</v>
      </c>
      <c r="N785">
        <f t="shared" si="24"/>
        <v>9.9499999999999993</v>
      </c>
      <c r="O785" t="b">
        <f t="shared" si="25"/>
        <v>1</v>
      </c>
    </row>
    <row r="786" spans="1:15">
      <c r="A786" t="s">
        <v>961</v>
      </c>
      <c r="B786" s="2">
        <v>46140</v>
      </c>
      <c r="C786" t="s">
        <v>205</v>
      </c>
      <c r="D786" t="s">
        <v>35</v>
      </c>
      <c r="E786" t="s">
        <v>41</v>
      </c>
      <c r="F786" t="s">
        <v>31</v>
      </c>
      <c r="G786">
        <v>2</v>
      </c>
      <c r="H786" s="3">
        <v>5.5</v>
      </c>
      <c r="I786" s="3">
        <v>11</v>
      </c>
      <c r="J786" t="s">
        <v>27</v>
      </c>
      <c r="K786">
        <v>20</v>
      </c>
      <c r="L786">
        <v>27</v>
      </c>
      <c r="M786" t="s">
        <v>19</v>
      </c>
      <c r="N786">
        <f t="shared" si="24"/>
        <v>11</v>
      </c>
      <c r="O786" t="b">
        <f t="shared" si="25"/>
        <v>1</v>
      </c>
    </row>
    <row r="787" spans="1:15">
      <c r="A787" t="s">
        <v>962</v>
      </c>
      <c r="B787" s="2">
        <v>46068</v>
      </c>
      <c r="C787" t="s">
        <v>210</v>
      </c>
      <c r="D787" t="s">
        <v>35</v>
      </c>
      <c r="E787" t="s">
        <v>59</v>
      </c>
      <c r="F787" t="s">
        <v>17</v>
      </c>
      <c r="G787">
        <v>1</v>
      </c>
      <c r="H787" s="3">
        <v>11.95</v>
      </c>
      <c r="I787" s="3">
        <v>11.95</v>
      </c>
      <c r="J787" t="s">
        <v>32</v>
      </c>
      <c r="K787">
        <v>14</v>
      </c>
      <c r="L787">
        <v>22</v>
      </c>
      <c r="M787" t="s">
        <v>19</v>
      </c>
      <c r="N787">
        <f t="shared" si="24"/>
        <v>11.95</v>
      </c>
      <c r="O787" t="b">
        <f t="shared" si="25"/>
        <v>1</v>
      </c>
    </row>
    <row r="788" spans="1:15">
      <c r="A788" t="s">
        <v>963</v>
      </c>
      <c r="B788" s="2">
        <v>46255</v>
      </c>
      <c r="C788" t="s">
        <v>34</v>
      </c>
      <c r="D788" t="s">
        <v>35</v>
      </c>
      <c r="E788" t="s">
        <v>16</v>
      </c>
      <c r="F788" t="s">
        <v>17</v>
      </c>
      <c r="G788">
        <v>2</v>
      </c>
      <c r="H788" s="3">
        <v>9.9499999999999993</v>
      </c>
      <c r="I788" s="3">
        <v>19.899999999999999</v>
      </c>
      <c r="J788" t="s">
        <v>27</v>
      </c>
      <c r="K788">
        <v>9</v>
      </c>
      <c r="L788">
        <v>30</v>
      </c>
      <c r="M788" t="s">
        <v>19</v>
      </c>
      <c r="N788">
        <f t="shared" si="24"/>
        <v>19.899999999999999</v>
      </c>
      <c r="O788" t="b">
        <f t="shared" si="25"/>
        <v>1</v>
      </c>
    </row>
    <row r="789" spans="1:15">
      <c r="A789" t="s">
        <v>964</v>
      </c>
      <c r="B789" s="2">
        <v>46276</v>
      </c>
      <c r="C789" t="s">
        <v>205</v>
      </c>
      <c r="D789" t="s">
        <v>35</v>
      </c>
      <c r="E789" t="s">
        <v>56</v>
      </c>
      <c r="F789" t="s">
        <v>23</v>
      </c>
      <c r="G789">
        <v>1</v>
      </c>
      <c r="H789" s="3">
        <v>3.75</v>
      </c>
      <c r="I789" s="3">
        <v>3.75</v>
      </c>
      <c r="J789" t="s">
        <v>18</v>
      </c>
      <c r="K789">
        <v>24</v>
      </c>
      <c r="L789">
        <v>9</v>
      </c>
      <c r="M789" t="s">
        <v>19</v>
      </c>
      <c r="N789">
        <f t="shared" si="24"/>
        <v>3.75</v>
      </c>
      <c r="O789" t="b">
        <f t="shared" si="25"/>
        <v>1</v>
      </c>
    </row>
    <row r="790" spans="1:15">
      <c r="A790" t="s">
        <v>965</v>
      </c>
      <c r="B790" s="2">
        <v>46237</v>
      </c>
      <c r="C790" t="s">
        <v>355</v>
      </c>
      <c r="D790" t="s">
        <v>15</v>
      </c>
      <c r="E790" t="s">
        <v>126</v>
      </c>
      <c r="F790" t="s">
        <v>31</v>
      </c>
      <c r="G790">
        <v>4</v>
      </c>
      <c r="H790" s="3">
        <v>7.95</v>
      </c>
      <c r="I790" s="3">
        <v>31.8</v>
      </c>
      <c r="J790" t="s">
        <v>18</v>
      </c>
      <c r="K790">
        <v>12</v>
      </c>
      <c r="L790">
        <v>6</v>
      </c>
      <c r="M790" t="s">
        <v>19</v>
      </c>
      <c r="N790">
        <f t="shared" si="24"/>
        <v>31.8</v>
      </c>
      <c r="O790" t="b">
        <f t="shared" si="25"/>
        <v>1</v>
      </c>
    </row>
    <row r="791" spans="1:15">
      <c r="A791" t="s">
        <v>966</v>
      </c>
      <c r="B791" s="2">
        <v>46257</v>
      </c>
      <c r="C791" t="s">
        <v>150</v>
      </c>
      <c r="D791" t="s">
        <v>15</v>
      </c>
      <c r="E791" t="s">
        <v>93</v>
      </c>
      <c r="F791" t="s">
        <v>31</v>
      </c>
      <c r="G791">
        <v>4</v>
      </c>
      <c r="H791" s="3">
        <v>6.25</v>
      </c>
      <c r="I791" s="3">
        <v>25</v>
      </c>
      <c r="J791" t="s">
        <v>27</v>
      </c>
      <c r="K791">
        <v>22</v>
      </c>
      <c r="L791">
        <v>7</v>
      </c>
      <c r="M791" t="s">
        <v>19</v>
      </c>
      <c r="N791">
        <f t="shared" si="24"/>
        <v>25</v>
      </c>
      <c r="O791" t="b">
        <f t="shared" si="25"/>
        <v>1</v>
      </c>
    </row>
    <row r="792" spans="1:15">
      <c r="A792" t="s">
        <v>967</v>
      </c>
      <c r="B792" s="2">
        <v>46219</v>
      </c>
      <c r="C792" t="s">
        <v>134</v>
      </c>
      <c r="D792" t="s">
        <v>35</v>
      </c>
      <c r="E792" t="s">
        <v>41</v>
      </c>
      <c r="F792" t="s">
        <v>31</v>
      </c>
      <c r="G792">
        <v>1</v>
      </c>
      <c r="H792" s="3">
        <v>5.5</v>
      </c>
      <c r="I792" s="3">
        <v>5.5</v>
      </c>
      <c r="J792" t="s">
        <v>18</v>
      </c>
      <c r="K792">
        <v>8</v>
      </c>
      <c r="L792">
        <v>25</v>
      </c>
      <c r="M792" t="s">
        <v>19</v>
      </c>
      <c r="N792">
        <f t="shared" si="24"/>
        <v>5.5</v>
      </c>
      <c r="O792" t="b">
        <f t="shared" si="25"/>
        <v>1</v>
      </c>
    </row>
    <row r="793" spans="1:15">
      <c r="A793" t="s">
        <v>968</v>
      </c>
      <c r="B793" s="2">
        <v>46204</v>
      </c>
      <c r="C793" t="s">
        <v>134</v>
      </c>
      <c r="D793" t="s">
        <v>35</v>
      </c>
      <c r="E793" t="s">
        <v>83</v>
      </c>
      <c r="F793" t="s">
        <v>17</v>
      </c>
      <c r="G793">
        <v>1</v>
      </c>
      <c r="H793" s="3">
        <v>13.5</v>
      </c>
      <c r="I793" s="3">
        <v>13.5</v>
      </c>
      <c r="J793" t="s">
        <v>18</v>
      </c>
      <c r="K793">
        <v>20</v>
      </c>
      <c r="L793">
        <v>21</v>
      </c>
      <c r="M793" t="s">
        <v>19</v>
      </c>
      <c r="N793">
        <f t="shared" si="24"/>
        <v>13.5</v>
      </c>
      <c r="O793" t="b">
        <f t="shared" si="25"/>
        <v>1</v>
      </c>
    </row>
    <row r="794" spans="1:15">
      <c r="A794" t="s">
        <v>969</v>
      </c>
      <c r="B794" s="2">
        <v>46225</v>
      </c>
      <c r="C794" t="s">
        <v>75</v>
      </c>
      <c r="D794" t="s">
        <v>35</v>
      </c>
      <c r="E794" t="s">
        <v>83</v>
      </c>
      <c r="F794" t="s">
        <v>17</v>
      </c>
      <c r="G794">
        <v>2</v>
      </c>
      <c r="H794" s="3">
        <v>13.5</v>
      </c>
      <c r="I794" s="3">
        <v>27</v>
      </c>
      <c r="J794" t="s">
        <v>53</v>
      </c>
      <c r="K794">
        <v>11</v>
      </c>
      <c r="L794">
        <v>23</v>
      </c>
      <c r="M794" t="s">
        <v>19</v>
      </c>
      <c r="N794">
        <f t="shared" si="24"/>
        <v>27</v>
      </c>
      <c r="O794" t="b">
        <f t="shared" si="25"/>
        <v>1</v>
      </c>
    </row>
    <row r="795" spans="1:15">
      <c r="A795" t="s">
        <v>970</v>
      </c>
      <c r="B795" s="2">
        <v>46090</v>
      </c>
      <c r="C795" t="s">
        <v>220</v>
      </c>
      <c r="D795" t="s">
        <v>15</v>
      </c>
      <c r="E795" t="s">
        <v>50</v>
      </c>
      <c r="F795" t="s">
        <v>17</v>
      </c>
      <c r="G795">
        <v>1</v>
      </c>
      <c r="H795" s="3">
        <v>14.5</v>
      </c>
      <c r="I795" s="3">
        <v>14.5</v>
      </c>
      <c r="J795" t="s">
        <v>53</v>
      </c>
      <c r="K795">
        <v>2</v>
      </c>
      <c r="L795">
        <v>22</v>
      </c>
      <c r="M795" t="s">
        <v>19</v>
      </c>
      <c r="N795">
        <f t="shared" si="24"/>
        <v>14.5</v>
      </c>
      <c r="O795" t="b">
        <f t="shared" si="25"/>
        <v>1</v>
      </c>
    </row>
    <row r="796" spans="1:15">
      <c r="A796" t="s">
        <v>971</v>
      </c>
      <c r="B796" s="2">
        <v>46278</v>
      </c>
      <c r="C796" t="s">
        <v>551</v>
      </c>
      <c r="D796" t="s">
        <v>35</v>
      </c>
      <c r="E796" t="s">
        <v>30</v>
      </c>
      <c r="F796" t="s">
        <v>31</v>
      </c>
      <c r="G796">
        <v>3</v>
      </c>
      <c r="H796" s="3">
        <v>8.5</v>
      </c>
      <c r="I796" s="3">
        <v>25.5</v>
      </c>
      <c r="J796" t="s">
        <v>32</v>
      </c>
      <c r="K796">
        <v>27</v>
      </c>
      <c r="L796">
        <v>23</v>
      </c>
      <c r="M796" t="s">
        <v>19</v>
      </c>
      <c r="N796">
        <f t="shared" si="24"/>
        <v>25.5</v>
      </c>
      <c r="O796" t="b">
        <f t="shared" si="25"/>
        <v>1</v>
      </c>
    </row>
    <row r="797" spans="1:15">
      <c r="A797" t="s">
        <v>972</v>
      </c>
      <c r="B797" s="2">
        <v>46158</v>
      </c>
      <c r="C797" t="s">
        <v>148</v>
      </c>
      <c r="D797" t="s">
        <v>35</v>
      </c>
      <c r="E797" t="s">
        <v>93</v>
      </c>
      <c r="F797" t="s">
        <v>31</v>
      </c>
      <c r="G797">
        <v>2</v>
      </c>
      <c r="H797" s="3">
        <v>6.25</v>
      </c>
      <c r="I797" s="3">
        <v>12.5</v>
      </c>
      <c r="J797" t="s">
        <v>53</v>
      </c>
      <c r="K797">
        <v>25</v>
      </c>
      <c r="L797">
        <v>17</v>
      </c>
      <c r="M797" t="s">
        <v>19</v>
      </c>
      <c r="N797">
        <f t="shared" si="24"/>
        <v>12.5</v>
      </c>
      <c r="O797" t="b">
        <f t="shared" si="25"/>
        <v>1</v>
      </c>
    </row>
    <row r="798" spans="1:15">
      <c r="A798" t="s">
        <v>973</v>
      </c>
      <c r="B798" s="2">
        <v>46248</v>
      </c>
      <c r="C798" t="s">
        <v>355</v>
      </c>
      <c r="D798" t="s">
        <v>15</v>
      </c>
      <c r="E798" t="s">
        <v>16</v>
      </c>
      <c r="F798" t="s">
        <v>17</v>
      </c>
      <c r="G798">
        <v>1</v>
      </c>
      <c r="H798" s="3">
        <v>9.9499999999999993</v>
      </c>
      <c r="I798" s="3">
        <v>9.9499999999999993</v>
      </c>
      <c r="J798" t="s">
        <v>27</v>
      </c>
      <c r="K798">
        <v>14</v>
      </c>
      <c r="L798">
        <v>15</v>
      </c>
      <c r="M798" t="s">
        <v>19</v>
      </c>
      <c r="N798">
        <f t="shared" si="24"/>
        <v>9.9499999999999993</v>
      </c>
      <c r="O798" t="b">
        <f t="shared" si="25"/>
        <v>1</v>
      </c>
    </row>
    <row r="799" spans="1:15">
      <c r="A799" t="s">
        <v>974</v>
      </c>
      <c r="B799" s="2">
        <v>46276</v>
      </c>
      <c r="C799" t="s">
        <v>328</v>
      </c>
      <c r="D799" t="s">
        <v>15</v>
      </c>
      <c r="E799" t="s">
        <v>36</v>
      </c>
      <c r="F799" t="s">
        <v>23</v>
      </c>
      <c r="G799">
        <v>1</v>
      </c>
      <c r="H799" s="3">
        <v>2.8</v>
      </c>
      <c r="I799" s="3">
        <v>2.8</v>
      </c>
      <c r="J799" t="s">
        <v>32</v>
      </c>
      <c r="K799">
        <v>4</v>
      </c>
      <c r="L799">
        <v>18</v>
      </c>
      <c r="M799" t="s">
        <v>19</v>
      </c>
      <c r="N799">
        <f t="shared" si="24"/>
        <v>2.8</v>
      </c>
      <c r="O799" t="b">
        <f t="shared" si="25"/>
        <v>1</v>
      </c>
    </row>
    <row r="800" spans="1:15">
      <c r="A800" t="s">
        <v>975</v>
      </c>
      <c r="B800" s="2">
        <v>46098</v>
      </c>
      <c r="C800" t="s">
        <v>483</v>
      </c>
      <c r="D800" t="s">
        <v>15</v>
      </c>
      <c r="E800" t="s">
        <v>126</v>
      </c>
      <c r="F800" t="s">
        <v>31</v>
      </c>
      <c r="G800">
        <v>1</v>
      </c>
      <c r="H800" s="3">
        <v>7.95</v>
      </c>
      <c r="I800" s="3">
        <v>7.95</v>
      </c>
      <c r="J800" t="s">
        <v>53</v>
      </c>
      <c r="K800">
        <v>19</v>
      </c>
      <c r="L800">
        <v>15</v>
      </c>
      <c r="M800" t="s">
        <v>19</v>
      </c>
      <c r="N800">
        <f t="shared" si="24"/>
        <v>7.95</v>
      </c>
      <c r="O800" t="b">
        <f t="shared" si="25"/>
        <v>1</v>
      </c>
    </row>
    <row r="801" spans="1:15">
      <c r="A801" t="s">
        <v>976</v>
      </c>
      <c r="B801" s="2">
        <v>46131</v>
      </c>
      <c r="C801" t="s">
        <v>400</v>
      </c>
      <c r="D801" t="s">
        <v>35</v>
      </c>
      <c r="E801" t="s">
        <v>121</v>
      </c>
      <c r="F801" t="s">
        <v>23</v>
      </c>
      <c r="G801">
        <v>1</v>
      </c>
      <c r="H801" s="3">
        <v>6.5</v>
      </c>
      <c r="I801" s="3">
        <v>6.5</v>
      </c>
      <c r="J801" t="s">
        <v>32</v>
      </c>
      <c r="K801">
        <v>8</v>
      </c>
      <c r="L801">
        <v>2</v>
      </c>
      <c r="M801" t="s">
        <v>19</v>
      </c>
      <c r="N801">
        <f t="shared" si="24"/>
        <v>6.5</v>
      </c>
      <c r="O801" t="b">
        <f t="shared" si="25"/>
        <v>1</v>
      </c>
    </row>
    <row r="802" spans="1:15">
      <c r="A802" t="s">
        <v>977</v>
      </c>
      <c r="B802" s="2">
        <v>46071</v>
      </c>
      <c r="C802" t="s">
        <v>431</v>
      </c>
      <c r="D802" t="s">
        <v>35</v>
      </c>
      <c r="E802" t="s">
        <v>59</v>
      </c>
      <c r="F802" t="s">
        <v>17</v>
      </c>
      <c r="G802">
        <v>1</v>
      </c>
      <c r="H802" s="3">
        <v>11.95</v>
      </c>
      <c r="I802" s="3">
        <v>11.95</v>
      </c>
      <c r="J802" t="s">
        <v>27</v>
      </c>
      <c r="K802">
        <v>11</v>
      </c>
      <c r="L802">
        <v>22</v>
      </c>
      <c r="M802" t="s">
        <v>19</v>
      </c>
      <c r="N802">
        <f t="shared" si="24"/>
        <v>11.95</v>
      </c>
      <c r="O802" t="b">
        <f t="shared" si="25"/>
        <v>1</v>
      </c>
    </row>
    <row r="803" spans="1:15">
      <c r="A803" t="s">
        <v>978</v>
      </c>
      <c r="B803" s="2">
        <v>46064</v>
      </c>
      <c r="C803" t="s">
        <v>230</v>
      </c>
      <c r="D803" t="s">
        <v>35</v>
      </c>
      <c r="E803" t="s">
        <v>103</v>
      </c>
      <c r="F803" t="s">
        <v>23</v>
      </c>
      <c r="G803">
        <v>1</v>
      </c>
      <c r="H803" s="3">
        <v>3.25</v>
      </c>
      <c r="I803" s="3">
        <v>3.25</v>
      </c>
      <c r="J803" t="s">
        <v>18</v>
      </c>
      <c r="K803">
        <v>20</v>
      </c>
      <c r="L803">
        <v>11</v>
      </c>
      <c r="M803" t="s">
        <v>19</v>
      </c>
      <c r="N803">
        <f t="shared" si="24"/>
        <v>3.25</v>
      </c>
      <c r="O803" t="b">
        <f t="shared" si="25"/>
        <v>1</v>
      </c>
    </row>
    <row r="804" spans="1:15">
      <c r="A804" t="s">
        <v>979</v>
      </c>
      <c r="B804" s="2">
        <v>46191</v>
      </c>
      <c r="C804" t="s">
        <v>134</v>
      </c>
      <c r="D804" t="s">
        <v>35</v>
      </c>
      <c r="E804" t="s">
        <v>96</v>
      </c>
      <c r="F804" t="s">
        <v>47</v>
      </c>
      <c r="G804">
        <v>1</v>
      </c>
      <c r="H804" s="3">
        <v>5.75</v>
      </c>
      <c r="I804" s="3">
        <v>5.75</v>
      </c>
      <c r="J804" t="s">
        <v>18</v>
      </c>
      <c r="K804">
        <v>26</v>
      </c>
      <c r="L804">
        <v>33</v>
      </c>
      <c r="M804" t="s">
        <v>19</v>
      </c>
      <c r="N804">
        <f t="shared" si="24"/>
        <v>5.75</v>
      </c>
      <c r="O804" t="b">
        <f t="shared" si="25"/>
        <v>1</v>
      </c>
    </row>
    <row r="805" spans="1:15">
      <c r="A805" t="s">
        <v>980</v>
      </c>
      <c r="B805" s="2">
        <v>46131</v>
      </c>
      <c r="C805" t="s">
        <v>105</v>
      </c>
      <c r="D805" t="s">
        <v>35</v>
      </c>
      <c r="E805" t="s">
        <v>93</v>
      </c>
      <c r="F805" t="s">
        <v>31</v>
      </c>
      <c r="G805">
        <v>2</v>
      </c>
      <c r="H805" s="3">
        <v>6.25</v>
      </c>
      <c r="I805" s="3">
        <v>0</v>
      </c>
      <c r="J805" t="s">
        <v>18</v>
      </c>
      <c r="K805">
        <v>3</v>
      </c>
      <c r="L805">
        <v>19</v>
      </c>
      <c r="M805" t="s">
        <v>152</v>
      </c>
      <c r="N805">
        <f t="shared" si="24"/>
        <v>12.5</v>
      </c>
      <c r="O805" t="b">
        <f t="shared" si="25"/>
        <v>1</v>
      </c>
    </row>
    <row r="806" spans="1:15">
      <c r="A806" t="s">
        <v>981</v>
      </c>
      <c r="B806" s="2">
        <v>46218</v>
      </c>
      <c r="C806" t="s">
        <v>258</v>
      </c>
      <c r="D806" t="s">
        <v>15</v>
      </c>
      <c r="E806" t="s">
        <v>16</v>
      </c>
      <c r="F806" t="s">
        <v>17</v>
      </c>
      <c r="G806">
        <v>3</v>
      </c>
      <c r="H806" s="3">
        <v>9.9499999999999993</v>
      </c>
      <c r="I806" s="3">
        <v>29.85</v>
      </c>
      <c r="J806" t="s">
        <v>18</v>
      </c>
      <c r="K806">
        <v>6</v>
      </c>
      <c r="L806">
        <v>25</v>
      </c>
      <c r="M806" t="s">
        <v>19</v>
      </c>
      <c r="N806">
        <f t="shared" si="24"/>
        <v>29.849999999999998</v>
      </c>
      <c r="O806" t="b">
        <f t="shared" si="25"/>
        <v>1</v>
      </c>
    </row>
    <row r="807" spans="1:15">
      <c r="A807" t="s">
        <v>982</v>
      </c>
      <c r="B807" s="2">
        <v>46229</v>
      </c>
      <c r="C807" t="s">
        <v>160</v>
      </c>
      <c r="D807" t="s">
        <v>15</v>
      </c>
      <c r="E807" t="s">
        <v>126</v>
      </c>
      <c r="F807" t="s">
        <v>31</v>
      </c>
      <c r="G807">
        <v>1</v>
      </c>
      <c r="H807" s="3">
        <v>7.95</v>
      </c>
      <c r="I807" s="3">
        <v>7.95</v>
      </c>
      <c r="J807" t="s">
        <v>32</v>
      </c>
      <c r="K807">
        <v>24</v>
      </c>
      <c r="L807">
        <v>22</v>
      </c>
      <c r="M807" t="s">
        <v>19</v>
      </c>
      <c r="N807">
        <f t="shared" si="24"/>
        <v>7.95</v>
      </c>
      <c r="O807" t="b">
        <f t="shared" si="25"/>
        <v>1</v>
      </c>
    </row>
    <row r="808" spans="1:15">
      <c r="A808" t="s">
        <v>983</v>
      </c>
      <c r="B808" s="2">
        <v>46181</v>
      </c>
      <c r="C808" t="s">
        <v>89</v>
      </c>
      <c r="D808" t="s">
        <v>35</v>
      </c>
      <c r="E808" t="s">
        <v>30</v>
      </c>
      <c r="F808" t="s">
        <v>31</v>
      </c>
      <c r="G808">
        <v>2</v>
      </c>
      <c r="H808" s="3">
        <v>8.5</v>
      </c>
      <c r="I808" s="3">
        <v>17</v>
      </c>
      <c r="J808" t="s">
        <v>18</v>
      </c>
      <c r="K808">
        <v>29</v>
      </c>
      <c r="L808">
        <v>13</v>
      </c>
      <c r="M808" t="s">
        <v>19</v>
      </c>
      <c r="N808">
        <f t="shared" si="24"/>
        <v>17</v>
      </c>
      <c r="O808" t="b">
        <f t="shared" si="25"/>
        <v>1</v>
      </c>
    </row>
    <row r="809" spans="1:15">
      <c r="A809" t="s">
        <v>984</v>
      </c>
      <c r="B809" s="2">
        <v>46160</v>
      </c>
      <c r="C809" t="s">
        <v>34</v>
      </c>
      <c r="D809" t="s">
        <v>35</v>
      </c>
      <c r="E809" t="s">
        <v>78</v>
      </c>
      <c r="F809" t="s">
        <v>47</v>
      </c>
      <c r="G809">
        <v>2</v>
      </c>
      <c r="H809" s="3">
        <v>7.25</v>
      </c>
      <c r="I809" s="3">
        <v>14.5</v>
      </c>
      <c r="J809" t="s">
        <v>18</v>
      </c>
      <c r="K809">
        <v>6</v>
      </c>
      <c r="L809">
        <v>19</v>
      </c>
      <c r="M809" t="s">
        <v>19</v>
      </c>
      <c r="N809">
        <f t="shared" si="24"/>
        <v>14.5</v>
      </c>
      <c r="O809" t="b">
        <f t="shared" si="25"/>
        <v>1</v>
      </c>
    </row>
    <row r="810" spans="1:15">
      <c r="A810" t="s">
        <v>985</v>
      </c>
      <c r="B810" s="2">
        <v>46241</v>
      </c>
      <c r="C810" t="s">
        <v>225</v>
      </c>
      <c r="D810" t="s">
        <v>15</v>
      </c>
      <c r="E810" t="s">
        <v>96</v>
      </c>
      <c r="F810" t="s">
        <v>47</v>
      </c>
      <c r="G810">
        <v>2</v>
      </c>
      <c r="H810" s="3">
        <v>5.75</v>
      </c>
      <c r="I810" s="3">
        <v>11.5</v>
      </c>
      <c r="J810" t="s">
        <v>18</v>
      </c>
      <c r="K810">
        <v>16</v>
      </c>
      <c r="L810">
        <v>14</v>
      </c>
      <c r="M810" t="s">
        <v>19</v>
      </c>
      <c r="N810">
        <f t="shared" si="24"/>
        <v>11.5</v>
      </c>
      <c r="O810" t="b">
        <f t="shared" si="25"/>
        <v>1</v>
      </c>
    </row>
    <row r="811" spans="1:15">
      <c r="A811" t="s">
        <v>986</v>
      </c>
      <c r="B811" s="2">
        <v>46291</v>
      </c>
      <c r="C811" t="s">
        <v>398</v>
      </c>
      <c r="D811" t="s">
        <v>15</v>
      </c>
      <c r="E811" t="s">
        <v>39</v>
      </c>
      <c r="F811" t="s">
        <v>17</v>
      </c>
      <c r="G811">
        <v>3</v>
      </c>
      <c r="H811" s="3">
        <v>12.95</v>
      </c>
      <c r="I811" s="3">
        <v>38.85</v>
      </c>
      <c r="J811" t="s">
        <v>27</v>
      </c>
      <c r="K811">
        <v>10</v>
      </c>
      <c r="L811">
        <v>12</v>
      </c>
      <c r="M811" t="s">
        <v>19</v>
      </c>
      <c r="N811">
        <f t="shared" si="24"/>
        <v>38.849999999999994</v>
      </c>
      <c r="O811" t="b">
        <f t="shared" si="25"/>
        <v>1</v>
      </c>
    </row>
    <row r="812" spans="1:15">
      <c r="A812" t="s">
        <v>987</v>
      </c>
      <c r="B812" s="2">
        <v>46088</v>
      </c>
      <c r="C812" t="s">
        <v>228</v>
      </c>
      <c r="D812" t="s">
        <v>35</v>
      </c>
      <c r="E812" t="s">
        <v>22</v>
      </c>
      <c r="F812" t="s">
        <v>23</v>
      </c>
      <c r="G812">
        <v>1</v>
      </c>
      <c r="H812" s="3">
        <v>3.1</v>
      </c>
      <c r="I812" s="3">
        <v>3.1</v>
      </c>
      <c r="J812" t="s">
        <v>18</v>
      </c>
      <c r="K812">
        <v>2</v>
      </c>
      <c r="L812">
        <v>15</v>
      </c>
      <c r="M812" t="s">
        <v>19</v>
      </c>
      <c r="N812">
        <f t="shared" si="24"/>
        <v>3.1</v>
      </c>
      <c r="O812" t="b">
        <f t="shared" si="25"/>
        <v>1</v>
      </c>
    </row>
    <row r="813" spans="1:15">
      <c r="A813" t="s">
        <v>988</v>
      </c>
      <c r="B813" s="2">
        <v>46284</v>
      </c>
      <c r="C813" t="s">
        <v>381</v>
      </c>
      <c r="D813" t="s">
        <v>35</v>
      </c>
      <c r="E813" t="s">
        <v>121</v>
      </c>
      <c r="F813" t="s">
        <v>23</v>
      </c>
      <c r="G813">
        <v>2</v>
      </c>
      <c r="H813" s="3">
        <v>6.5</v>
      </c>
      <c r="I813" s="3">
        <v>13</v>
      </c>
      <c r="J813" t="s">
        <v>18</v>
      </c>
      <c r="K813">
        <v>9</v>
      </c>
      <c r="L813">
        <v>13</v>
      </c>
      <c r="M813" t="s">
        <v>19</v>
      </c>
      <c r="N813">
        <f t="shared" si="24"/>
        <v>13</v>
      </c>
      <c r="O813" t="b">
        <f t="shared" si="25"/>
        <v>1</v>
      </c>
    </row>
    <row r="814" spans="1:15">
      <c r="A814" t="s">
        <v>989</v>
      </c>
      <c r="B814" s="2">
        <v>46280</v>
      </c>
      <c r="C814" t="s">
        <v>150</v>
      </c>
      <c r="D814" t="s">
        <v>15</v>
      </c>
      <c r="E814" t="s">
        <v>106</v>
      </c>
      <c r="F814" t="s">
        <v>17</v>
      </c>
      <c r="G814">
        <v>2</v>
      </c>
      <c r="H814" s="3">
        <v>15.95</v>
      </c>
      <c r="I814" s="3">
        <v>31.9</v>
      </c>
      <c r="J814" t="s">
        <v>27</v>
      </c>
      <c r="K814">
        <v>10</v>
      </c>
      <c r="L814">
        <v>26</v>
      </c>
      <c r="M814" t="s">
        <v>19</v>
      </c>
      <c r="N814">
        <f t="shared" si="24"/>
        <v>31.9</v>
      </c>
      <c r="O814" t="b">
        <f t="shared" si="25"/>
        <v>1</v>
      </c>
    </row>
    <row r="815" spans="1:15">
      <c r="A815" t="s">
        <v>990</v>
      </c>
      <c r="B815" s="2">
        <v>46255</v>
      </c>
      <c r="C815" t="s">
        <v>52</v>
      </c>
      <c r="D815" t="s">
        <v>35</v>
      </c>
      <c r="E815" t="s">
        <v>41</v>
      </c>
      <c r="F815" t="s">
        <v>31</v>
      </c>
      <c r="G815">
        <v>1</v>
      </c>
      <c r="H815" s="3">
        <v>5.5</v>
      </c>
      <c r="I815" s="3">
        <v>5.5</v>
      </c>
      <c r="J815" t="s">
        <v>27</v>
      </c>
      <c r="K815">
        <v>7</v>
      </c>
      <c r="L815">
        <v>26</v>
      </c>
      <c r="M815" t="s">
        <v>19</v>
      </c>
      <c r="N815">
        <f t="shared" si="24"/>
        <v>5.5</v>
      </c>
      <c r="O815" t="b">
        <f t="shared" si="25"/>
        <v>1</v>
      </c>
    </row>
    <row r="816" spans="1:15">
      <c r="A816" t="s">
        <v>991</v>
      </c>
      <c r="B816" s="2">
        <v>46155</v>
      </c>
      <c r="C816" t="s">
        <v>297</v>
      </c>
      <c r="D816" t="s">
        <v>35</v>
      </c>
      <c r="E816" t="s">
        <v>36</v>
      </c>
      <c r="F816" t="s">
        <v>23</v>
      </c>
      <c r="G816">
        <v>1</v>
      </c>
      <c r="H816" s="3">
        <v>2.8</v>
      </c>
      <c r="I816" s="3">
        <v>2.8</v>
      </c>
      <c r="J816" t="s">
        <v>18</v>
      </c>
      <c r="K816">
        <v>16</v>
      </c>
      <c r="L816">
        <v>15</v>
      </c>
      <c r="M816" t="s">
        <v>19</v>
      </c>
      <c r="N816">
        <f t="shared" si="24"/>
        <v>2.8</v>
      </c>
      <c r="O816" t="b">
        <f t="shared" si="25"/>
        <v>1</v>
      </c>
    </row>
    <row r="817" spans="1:15">
      <c r="A817" t="s">
        <v>992</v>
      </c>
      <c r="B817" s="2">
        <v>46230</v>
      </c>
      <c r="C817" t="s">
        <v>134</v>
      </c>
      <c r="D817" t="s">
        <v>35</v>
      </c>
      <c r="E817" t="s">
        <v>103</v>
      </c>
      <c r="F817" t="s">
        <v>23</v>
      </c>
      <c r="G817">
        <v>1</v>
      </c>
      <c r="H817" s="3">
        <v>3.25</v>
      </c>
      <c r="I817" s="3">
        <v>3.25</v>
      </c>
      <c r="J817" t="s">
        <v>18</v>
      </c>
      <c r="K817">
        <v>12</v>
      </c>
      <c r="L817">
        <v>15</v>
      </c>
      <c r="M817" t="s">
        <v>19</v>
      </c>
      <c r="N817">
        <f t="shared" si="24"/>
        <v>3.25</v>
      </c>
      <c r="O817" t="b">
        <f t="shared" si="25"/>
        <v>1</v>
      </c>
    </row>
    <row r="818" spans="1:15">
      <c r="A818" t="s">
        <v>993</v>
      </c>
      <c r="B818" s="2">
        <v>46225</v>
      </c>
      <c r="C818" t="s">
        <v>142</v>
      </c>
      <c r="D818" t="s">
        <v>35</v>
      </c>
      <c r="E818" t="s">
        <v>50</v>
      </c>
      <c r="F818" t="s">
        <v>17</v>
      </c>
      <c r="G818">
        <v>1</v>
      </c>
      <c r="H818" s="3">
        <v>14.5</v>
      </c>
      <c r="I818" s="3">
        <v>14.5</v>
      </c>
      <c r="J818" t="s">
        <v>53</v>
      </c>
      <c r="K818">
        <v>7</v>
      </c>
      <c r="L818">
        <v>23</v>
      </c>
      <c r="M818" t="s">
        <v>19</v>
      </c>
      <c r="N818">
        <f t="shared" si="24"/>
        <v>14.5</v>
      </c>
      <c r="O818" t="b">
        <f t="shared" si="25"/>
        <v>1</v>
      </c>
    </row>
    <row r="819" spans="1:15">
      <c r="A819" t="s">
        <v>994</v>
      </c>
      <c r="B819" s="2">
        <v>46130</v>
      </c>
      <c r="C819" t="s">
        <v>110</v>
      </c>
      <c r="D819" t="s">
        <v>35</v>
      </c>
      <c r="E819" t="s">
        <v>16</v>
      </c>
      <c r="F819" t="s">
        <v>17</v>
      </c>
      <c r="G819">
        <v>1</v>
      </c>
      <c r="H819" s="3">
        <v>9.9499999999999993</v>
      </c>
      <c r="I819" s="3">
        <v>9.9499999999999993</v>
      </c>
      <c r="J819" t="s">
        <v>32</v>
      </c>
      <c r="K819">
        <v>28</v>
      </c>
      <c r="L819">
        <v>11</v>
      </c>
      <c r="M819" t="s">
        <v>19</v>
      </c>
      <c r="N819">
        <f t="shared" si="24"/>
        <v>9.9499999999999993</v>
      </c>
      <c r="O819" t="b">
        <f t="shared" si="25"/>
        <v>1</v>
      </c>
    </row>
    <row r="820" spans="1:15">
      <c r="A820" t="s">
        <v>995</v>
      </c>
      <c r="B820" s="2">
        <v>46120</v>
      </c>
      <c r="C820" t="s">
        <v>150</v>
      </c>
      <c r="D820" t="s">
        <v>15</v>
      </c>
      <c r="E820" t="s">
        <v>103</v>
      </c>
      <c r="F820" t="s">
        <v>23</v>
      </c>
      <c r="G820">
        <v>1</v>
      </c>
      <c r="H820" s="3">
        <v>3.25</v>
      </c>
      <c r="I820" s="3">
        <v>3.25</v>
      </c>
      <c r="J820" t="s">
        <v>18</v>
      </c>
      <c r="K820">
        <v>23</v>
      </c>
      <c r="L820">
        <v>10</v>
      </c>
      <c r="M820" t="s">
        <v>19</v>
      </c>
      <c r="N820">
        <f t="shared" si="24"/>
        <v>3.25</v>
      </c>
      <c r="O820" t="b">
        <f t="shared" si="25"/>
        <v>1</v>
      </c>
    </row>
    <row r="821" spans="1:15">
      <c r="A821" t="s">
        <v>996</v>
      </c>
      <c r="B821" s="2">
        <v>46271</v>
      </c>
      <c r="C821" t="s">
        <v>52</v>
      </c>
      <c r="D821" t="s">
        <v>35</v>
      </c>
      <c r="E821" t="s">
        <v>16</v>
      </c>
      <c r="F821" t="s">
        <v>17</v>
      </c>
      <c r="G821">
        <v>1</v>
      </c>
      <c r="H821" s="3">
        <v>9.9499999999999993</v>
      </c>
      <c r="I821" s="3">
        <v>9.9499999999999993</v>
      </c>
      <c r="J821" t="s">
        <v>32</v>
      </c>
      <c r="K821">
        <v>27</v>
      </c>
      <c r="L821">
        <v>22</v>
      </c>
      <c r="M821" t="s">
        <v>19</v>
      </c>
      <c r="N821">
        <f t="shared" si="24"/>
        <v>9.9499999999999993</v>
      </c>
      <c r="O821" t="b">
        <f t="shared" si="25"/>
        <v>1</v>
      </c>
    </row>
    <row r="822" spans="1:15">
      <c r="A822" t="s">
        <v>997</v>
      </c>
      <c r="B822" s="2">
        <v>46049</v>
      </c>
      <c r="C822" t="s">
        <v>154</v>
      </c>
      <c r="D822" t="s">
        <v>15</v>
      </c>
      <c r="E822" t="s">
        <v>78</v>
      </c>
      <c r="F822" t="s">
        <v>47</v>
      </c>
      <c r="G822">
        <v>4</v>
      </c>
      <c r="H822" s="3">
        <v>7.25</v>
      </c>
      <c r="I822" s="3">
        <v>29</v>
      </c>
      <c r="J822" t="s">
        <v>53</v>
      </c>
      <c r="K822">
        <v>18</v>
      </c>
      <c r="L822">
        <v>15</v>
      </c>
      <c r="M822" t="s">
        <v>19</v>
      </c>
      <c r="N822">
        <f t="shared" si="24"/>
        <v>29</v>
      </c>
      <c r="O822" t="b">
        <f t="shared" si="25"/>
        <v>1</v>
      </c>
    </row>
    <row r="823" spans="1:15">
      <c r="A823" t="s">
        <v>998</v>
      </c>
      <c r="B823" s="2">
        <v>46041</v>
      </c>
      <c r="C823" t="s">
        <v>208</v>
      </c>
      <c r="D823" t="s">
        <v>35</v>
      </c>
      <c r="E823" t="s">
        <v>121</v>
      </c>
      <c r="F823" t="s">
        <v>23</v>
      </c>
      <c r="G823">
        <v>2</v>
      </c>
      <c r="H823" s="3">
        <v>6.5</v>
      </c>
      <c r="I823" s="3">
        <v>13</v>
      </c>
      <c r="J823" t="s">
        <v>32</v>
      </c>
      <c r="K823">
        <v>29</v>
      </c>
      <c r="L823">
        <v>4</v>
      </c>
      <c r="M823" t="s">
        <v>19</v>
      </c>
      <c r="N823">
        <f t="shared" si="24"/>
        <v>13</v>
      </c>
      <c r="O823" t="b">
        <f t="shared" si="25"/>
        <v>1</v>
      </c>
    </row>
    <row r="824" spans="1:15">
      <c r="A824" t="s">
        <v>999</v>
      </c>
      <c r="B824" s="2">
        <v>46272</v>
      </c>
      <c r="C824" t="s">
        <v>178</v>
      </c>
      <c r="D824" t="s">
        <v>15</v>
      </c>
      <c r="E824" t="s">
        <v>26</v>
      </c>
      <c r="F824" t="s">
        <v>17</v>
      </c>
      <c r="G824">
        <v>1</v>
      </c>
      <c r="H824" s="3">
        <v>11.5</v>
      </c>
      <c r="I824" s="3">
        <v>11.5</v>
      </c>
      <c r="J824" t="s">
        <v>18</v>
      </c>
      <c r="K824">
        <v>21</v>
      </c>
      <c r="L824">
        <v>11</v>
      </c>
      <c r="M824" t="s">
        <v>19</v>
      </c>
      <c r="N824">
        <f t="shared" si="24"/>
        <v>11.5</v>
      </c>
      <c r="O824" t="b">
        <f t="shared" si="25"/>
        <v>1</v>
      </c>
    </row>
    <row r="825" spans="1:15">
      <c r="A825" t="s">
        <v>1000</v>
      </c>
      <c r="B825" s="2">
        <v>46265</v>
      </c>
      <c r="C825" t="s">
        <v>124</v>
      </c>
      <c r="D825" t="s">
        <v>15</v>
      </c>
      <c r="E825" t="s">
        <v>30</v>
      </c>
      <c r="F825" t="s">
        <v>31</v>
      </c>
      <c r="G825">
        <v>1</v>
      </c>
      <c r="H825" s="3">
        <v>8.5</v>
      </c>
      <c r="I825" s="3">
        <v>8.5</v>
      </c>
      <c r="J825" t="s">
        <v>27</v>
      </c>
      <c r="K825">
        <v>1</v>
      </c>
      <c r="L825">
        <v>14</v>
      </c>
      <c r="M825" t="s">
        <v>19</v>
      </c>
      <c r="N825">
        <f t="shared" si="24"/>
        <v>8.5</v>
      </c>
      <c r="O825" t="b">
        <f t="shared" si="25"/>
        <v>1</v>
      </c>
    </row>
    <row r="826" spans="1:15">
      <c r="A826" t="s">
        <v>1001</v>
      </c>
      <c r="B826" s="2">
        <v>46121</v>
      </c>
      <c r="C826" t="s">
        <v>205</v>
      </c>
      <c r="D826" t="s">
        <v>35</v>
      </c>
      <c r="E826" t="s">
        <v>22</v>
      </c>
      <c r="F826" t="s">
        <v>23</v>
      </c>
      <c r="G826">
        <v>1</v>
      </c>
      <c r="H826" s="3">
        <v>3.1</v>
      </c>
      <c r="I826" s="3">
        <v>3.1</v>
      </c>
      <c r="J826" t="s">
        <v>18</v>
      </c>
      <c r="K826">
        <v>27</v>
      </c>
      <c r="L826">
        <v>8</v>
      </c>
      <c r="M826" t="s">
        <v>19</v>
      </c>
      <c r="N826">
        <f t="shared" si="24"/>
        <v>3.1</v>
      </c>
      <c r="O826" t="b">
        <f t="shared" si="25"/>
        <v>1</v>
      </c>
    </row>
    <row r="827" spans="1:15">
      <c r="A827" t="s">
        <v>1002</v>
      </c>
      <c r="B827" s="2">
        <v>46262</v>
      </c>
      <c r="C827" t="s">
        <v>328</v>
      </c>
      <c r="D827" t="s">
        <v>15</v>
      </c>
      <c r="E827" t="s">
        <v>46</v>
      </c>
      <c r="F827" t="s">
        <v>47</v>
      </c>
      <c r="G827">
        <v>3</v>
      </c>
      <c r="H827" s="3">
        <v>6.95</v>
      </c>
      <c r="I827" s="3">
        <v>20.85</v>
      </c>
      <c r="J827" t="s">
        <v>18</v>
      </c>
      <c r="K827">
        <v>21</v>
      </c>
      <c r="L827">
        <v>22</v>
      </c>
      <c r="M827" t="s">
        <v>19</v>
      </c>
      <c r="N827">
        <f t="shared" si="24"/>
        <v>20.85</v>
      </c>
      <c r="O827" t="b">
        <f t="shared" si="25"/>
        <v>1</v>
      </c>
    </row>
    <row r="828" spans="1:15">
      <c r="A828" t="s">
        <v>1003</v>
      </c>
      <c r="B828" s="2">
        <v>46264</v>
      </c>
      <c r="C828" t="s">
        <v>210</v>
      </c>
      <c r="D828" t="s">
        <v>35</v>
      </c>
      <c r="E828" t="s">
        <v>70</v>
      </c>
      <c r="F828" t="s">
        <v>17</v>
      </c>
      <c r="G828">
        <v>1</v>
      </c>
      <c r="H828" s="3">
        <v>12.5</v>
      </c>
      <c r="I828" s="3">
        <v>0</v>
      </c>
      <c r="J828" t="s">
        <v>27</v>
      </c>
      <c r="K828">
        <v>6</v>
      </c>
      <c r="L828">
        <v>25</v>
      </c>
      <c r="M828" t="s">
        <v>152</v>
      </c>
      <c r="N828">
        <f t="shared" si="24"/>
        <v>12.5</v>
      </c>
      <c r="O828" t="b">
        <f t="shared" si="25"/>
        <v>1</v>
      </c>
    </row>
    <row r="829" spans="1:15">
      <c r="A829" t="s">
        <v>1004</v>
      </c>
      <c r="B829" s="2">
        <v>46274</v>
      </c>
      <c r="C829" t="s">
        <v>385</v>
      </c>
      <c r="D829" t="s">
        <v>15</v>
      </c>
      <c r="E829" t="s">
        <v>126</v>
      </c>
      <c r="F829" t="s">
        <v>31</v>
      </c>
      <c r="G829">
        <v>1</v>
      </c>
      <c r="H829" s="3">
        <v>7.95</v>
      </c>
      <c r="I829" s="3">
        <v>7.95</v>
      </c>
      <c r="J829" t="s">
        <v>53</v>
      </c>
      <c r="K829">
        <v>2</v>
      </c>
      <c r="L829">
        <v>19</v>
      </c>
      <c r="M829" t="s">
        <v>19</v>
      </c>
      <c r="N829">
        <f t="shared" si="24"/>
        <v>7.95</v>
      </c>
      <c r="O829" t="b">
        <f t="shared" si="25"/>
        <v>1</v>
      </c>
    </row>
    <row r="830" spans="1:15">
      <c r="A830" t="s">
        <v>1005</v>
      </c>
      <c r="B830" s="2">
        <v>46206</v>
      </c>
      <c r="C830" t="s">
        <v>64</v>
      </c>
      <c r="D830" t="s">
        <v>35</v>
      </c>
      <c r="E830" t="s">
        <v>106</v>
      </c>
      <c r="F830" t="s">
        <v>17</v>
      </c>
      <c r="G830">
        <v>1</v>
      </c>
      <c r="H830" s="3">
        <v>15.95</v>
      </c>
      <c r="I830" s="3">
        <v>15.95</v>
      </c>
      <c r="J830" t="s">
        <v>27</v>
      </c>
      <c r="K830">
        <v>14</v>
      </c>
      <c r="L830">
        <v>22</v>
      </c>
      <c r="M830" t="s">
        <v>19</v>
      </c>
      <c r="N830">
        <f t="shared" si="24"/>
        <v>15.95</v>
      </c>
      <c r="O830" t="b">
        <f t="shared" si="25"/>
        <v>1</v>
      </c>
    </row>
    <row r="831" spans="1:15">
      <c r="A831" t="s">
        <v>1006</v>
      </c>
      <c r="B831" s="2">
        <v>46139</v>
      </c>
      <c r="C831" t="s">
        <v>236</v>
      </c>
      <c r="D831" t="s">
        <v>15</v>
      </c>
      <c r="E831" t="s">
        <v>41</v>
      </c>
      <c r="F831" t="s">
        <v>31</v>
      </c>
      <c r="G831">
        <v>4</v>
      </c>
      <c r="H831" s="3">
        <v>5.5</v>
      </c>
      <c r="I831" s="3">
        <v>22</v>
      </c>
      <c r="J831" t="s">
        <v>27</v>
      </c>
      <c r="K831">
        <v>25</v>
      </c>
      <c r="L831">
        <v>16</v>
      </c>
      <c r="M831" t="s">
        <v>19</v>
      </c>
      <c r="N831">
        <f t="shared" si="24"/>
        <v>22</v>
      </c>
      <c r="O831" t="b">
        <f t="shared" si="25"/>
        <v>1</v>
      </c>
    </row>
    <row r="832" spans="1:15">
      <c r="A832" t="s">
        <v>1007</v>
      </c>
      <c r="B832" s="2">
        <v>46159</v>
      </c>
      <c r="C832" t="s">
        <v>99</v>
      </c>
      <c r="D832" t="s">
        <v>35</v>
      </c>
      <c r="E832" t="s">
        <v>56</v>
      </c>
      <c r="F832" t="s">
        <v>23</v>
      </c>
      <c r="G832">
        <v>2</v>
      </c>
      <c r="H832" s="3">
        <v>3.75</v>
      </c>
      <c r="I832" s="3">
        <v>7.5</v>
      </c>
      <c r="J832" t="s">
        <v>18</v>
      </c>
      <c r="K832">
        <v>26</v>
      </c>
      <c r="L832">
        <v>26</v>
      </c>
      <c r="M832" t="s">
        <v>19</v>
      </c>
      <c r="N832">
        <f t="shared" si="24"/>
        <v>7.5</v>
      </c>
      <c r="O832" t="b">
        <f t="shared" si="25"/>
        <v>1</v>
      </c>
    </row>
    <row r="833" spans="1:15">
      <c r="A833" t="s">
        <v>1008</v>
      </c>
      <c r="B833" s="2">
        <v>46079</v>
      </c>
      <c r="C833" t="s">
        <v>193</v>
      </c>
      <c r="D833" t="s">
        <v>35</v>
      </c>
      <c r="E833" t="s">
        <v>59</v>
      </c>
      <c r="F833" t="s">
        <v>17</v>
      </c>
      <c r="G833">
        <v>2</v>
      </c>
      <c r="H833" s="3">
        <v>11.95</v>
      </c>
      <c r="I833" s="3">
        <v>23.9</v>
      </c>
      <c r="J833" t="s">
        <v>27</v>
      </c>
      <c r="K833">
        <v>17</v>
      </c>
      <c r="L833">
        <v>24</v>
      </c>
      <c r="M833" t="s">
        <v>19</v>
      </c>
      <c r="N833">
        <f t="shared" si="24"/>
        <v>23.9</v>
      </c>
      <c r="O833" t="b">
        <f t="shared" si="25"/>
        <v>1</v>
      </c>
    </row>
    <row r="834" spans="1:15">
      <c r="A834" t="s">
        <v>1009</v>
      </c>
      <c r="B834" s="2">
        <v>46083</v>
      </c>
      <c r="C834" t="s">
        <v>120</v>
      </c>
      <c r="D834" t="s">
        <v>35</v>
      </c>
      <c r="E834" t="s">
        <v>126</v>
      </c>
      <c r="F834" t="s">
        <v>31</v>
      </c>
      <c r="G834">
        <v>2</v>
      </c>
      <c r="H834" s="3">
        <v>7.95</v>
      </c>
      <c r="I834" s="3">
        <v>-15.9</v>
      </c>
      <c r="J834" t="s">
        <v>27</v>
      </c>
      <c r="K834">
        <v>4</v>
      </c>
      <c r="L834">
        <v>10</v>
      </c>
      <c r="M834" t="s">
        <v>62</v>
      </c>
      <c r="N834">
        <f t="shared" ref="N834:N897" si="26">G834*H834</f>
        <v>15.9</v>
      </c>
      <c r="O834" t="b">
        <f t="shared" ref="O834:O897" si="27">OR(AND(M834="Completed",I834=N834),AND(M834="Refunded",ABS(I834)=N834),AND(M834="Cancelled",I834=0))</f>
        <v>1</v>
      </c>
    </row>
    <row r="835" spans="1:15">
      <c r="A835" t="s">
        <v>1010</v>
      </c>
      <c r="B835" s="2">
        <v>46209</v>
      </c>
      <c r="C835" t="s">
        <v>160</v>
      </c>
      <c r="D835" t="s">
        <v>15</v>
      </c>
      <c r="E835" t="s">
        <v>70</v>
      </c>
      <c r="F835" t="s">
        <v>17</v>
      </c>
      <c r="G835">
        <v>1</v>
      </c>
      <c r="H835" s="3">
        <v>12.5</v>
      </c>
      <c r="I835" s="3">
        <v>12.5</v>
      </c>
      <c r="J835" t="s">
        <v>32</v>
      </c>
      <c r="K835">
        <v>25</v>
      </c>
      <c r="L835">
        <v>15</v>
      </c>
      <c r="M835" t="s">
        <v>19</v>
      </c>
      <c r="N835">
        <f t="shared" si="26"/>
        <v>12.5</v>
      </c>
      <c r="O835" t="b">
        <f t="shared" si="27"/>
        <v>1</v>
      </c>
    </row>
    <row r="836" spans="1:15">
      <c r="A836" t="s">
        <v>1011</v>
      </c>
      <c r="B836" s="2">
        <v>46148</v>
      </c>
      <c r="C836" t="s">
        <v>180</v>
      </c>
      <c r="D836" t="s">
        <v>35</v>
      </c>
      <c r="E836" t="s">
        <v>126</v>
      </c>
      <c r="F836" t="s">
        <v>31</v>
      </c>
      <c r="G836">
        <v>1</v>
      </c>
      <c r="H836" s="3">
        <v>7.95</v>
      </c>
      <c r="I836" s="3">
        <v>7.95</v>
      </c>
      <c r="J836" t="s">
        <v>18</v>
      </c>
      <c r="K836">
        <v>14</v>
      </c>
      <c r="L836">
        <v>19</v>
      </c>
      <c r="M836" t="s">
        <v>19</v>
      </c>
      <c r="N836">
        <f t="shared" si="26"/>
        <v>7.95</v>
      </c>
      <c r="O836" t="b">
        <f t="shared" si="27"/>
        <v>1</v>
      </c>
    </row>
    <row r="837" spans="1:15">
      <c r="A837" t="s">
        <v>1012</v>
      </c>
      <c r="B837" s="2">
        <v>46148</v>
      </c>
      <c r="C837" t="s">
        <v>220</v>
      </c>
      <c r="D837" t="s">
        <v>15</v>
      </c>
      <c r="E837" t="s">
        <v>16</v>
      </c>
      <c r="F837" t="s">
        <v>17</v>
      </c>
      <c r="G837">
        <v>1</v>
      </c>
      <c r="H837" s="3">
        <v>9.9499999999999993</v>
      </c>
      <c r="I837" s="3">
        <v>9.9499999999999993</v>
      </c>
      <c r="J837" t="s">
        <v>53</v>
      </c>
      <c r="K837">
        <v>14</v>
      </c>
      <c r="L837">
        <v>25</v>
      </c>
      <c r="M837" t="s">
        <v>19</v>
      </c>
      <c r="N837">
        <f t="shared" si="26"/>
        <v>9.9499999999999993</v>
      </c>
      <c r="O837" t="b">
        <f t="shared" si="27"/>
        <v>1</v>
      </c>
    </row>
    <row r="838" spans="1:15">
      <c r="A838" t="s">
        <v>1013</v>
      </c>
      <c r="B838" s="2">
        <v>46257</v>
      </c>
      <c r="C838" t="s">
        <v>130</v>
      </c>
      <c r="D838" t="s">
        <v>35</v>
      </c>
      <c r="E838" t="s">
        <v>30</v>
      </c>
      <c r="F838" t="s">
        <v>31</v>
      </c>
      <c r="G838">
        <v>3</v>
      </c>
      <c r="H838" s="3">
        <v>8.5</v>
      </c>
      <c r="I838" s="3">
        <v>25.5</v>
      </c>
      <c r="J838" t="s">
        <v>18</v>
      </c>
      <c r="K838">
        <v>26</v>
      </c>
      <c r="L838">
        <v>20</v>
      </c>
      <c r="M838" t="s">
        <v>19</v>
      </c>
      <c r="N838">
        <f t="shared" si="26"/>
        <v>25.5</v>
      </c>
      <c r="O838" t="b">
        <f t="shared" si="27"/>
        <v>1</v>
      </c>
    </row>
    <row r="839" spans="1:15">
      <c r="A839" t="s">
        <v>1014</v>
      </c>
      <c r="B839" s="2">
        <v>46058</v>
      </c>
      <c r="C839" t="s">
        <v>288</v>
      </c>
      <c r="D839" t="s">
        <v>15</v>
      </c>
      <c r="E839" t="s">
        <v>106</v>
      </c>
      <c r="F839" t="s">
        <v>17</v>
      </c>
      <c r="G839">
        <v>1</v>
      </c>
      <c r="H839" s="3">
        <v>15.95</v>
      </c>
      <c r="I839" s="3">
        <v>15.95</v>
      </c>
      <c r="J839" t="s">
        <v>27</v>
      </c>
      <c r="K839">
        <v>25</v>
      </c>
      <c r="L839">
        <v>16</v>
      </c>
      <c r="M839" t="s">
        <v>19</v>
      </c>
      <c r="N839">
        <f t="shared" si="26"/>
        <v>15.95</v>
      </c>
      <c r="O839" t="b">
        <f t="shared" si="27"/>
        <v>1</v>
      </c>
    </row>
    <row r="840" spans="1:15">
      <c r="A840" t="s">
        <v>1015</v>
      </c>
      <c r="B840" s="2">
        <v>46100</v>
      </c>
      <c r="C840" t="s">
        <v>199</v>
      </c>
      <c r="D840" t="s">
        <v>35</v>
      </c>
      <c r="E840" t="s">
        <v>22</v>
      </c>
      <c r="F840" t="s">
        <v>23</v>
      </c>
      <c r="G840">
        <v>4</v>
      </c>
      <c r="H840" s="3">
        <v>3.1</v>
      </c>
      <c r="I840" s="3">
        <v>12.4</v>
      </c>
      <c r="J840" t="s">
        <v>53</v>
      </c>
      <c r="K840">
        <v>18</v>
      </c>
      <c r="L840">
        <v>5</v>
      </c>
      <c r="M840" t="s">
        <v>19</v>
      </c>
      <c r="N840">
        <f t="shared" si="26"/>
        <v>12.4</v>
      </c>
      <c r="O840" t="b">
        <f t="shared" si="27"/>
        <v>1</v>
      </c>
    </row>
    <row r="841" spans="1:15">
      <c r="A841" t="s">
        <v>1016</v>
      </c>
      <c r="B841" s="2">
        <v>46183</v>
      </c>
      <c r="C841" t="s">
        <v>431</v>
      </c>
      <c r="D841" t="s">
        <v>35</v>
      </c>
      <c r="E841" t="s">
        <v>22</v>
      </c>
      <c r="F841" t="s">
        <v>23</v>
      </c>
      <c r="G841">
        <v>2</v>
      </c>
      <c r="H841" s="3">
        <v>3.1</v>
      </c>
      <c r="I841" s="3">
        <v>6.2</v>
      </c>
      <c r="J841" t="s">
        <v>18</v>
      </c>
      <c r="K841">
        <v>23</v>
      </c>
      <c r="L841">
        <v>18</v>
      </c>
      <c r="M841" t="s">
        <v>19</v>
      </c>
      <c r="N841">
        <f t="shared" si="26"/>
        <v>6.2</v>
      </c>
      <c r="O841" t="b">
        <f t="shared" si="27"/>
        <v>1</v>
      </c>
    </row>
    <row r="842" spans="1:15">
      <c r="A842" t="s">
        <v>1017</v>
      </c>
      <c r="B842" s="2">
        <v>46128</v>
      </c>
      <c r="C842" t="s">
        <v>193</v>
      </c>
      <c r="D842" t="s">
        <v>35</v>
      </c>
      <c r="E842" t="s">
        <v>96</v>
      </c>
      <c r="F842" t="s">
        <v>47</v>
      </c>
      <c r="G842">
        <v>2</v>
      </c>
      <c r="H842" s="3">
        <v>5.75</v>
      </c>
      <c r="I842" s="3">
        <v>11.5</v>
      </c>
      <c r="J842" t="s">
        <v>27</v>
      </c>
      <c r="K842">
        <v>10</v>
      </c>
      <c r="L842">
        <v>16</v>
      </c>
      <c r="M842" t="s">
        <v>19</v>
      </c>
      <c r="N842">
        <f t="shared" si="26"/>
        <v>11.5</v>
      </c>
      <c r="O842" t="b">
        <f t="shared" si="27"/>
        <v>1</v>
      </c>
    </row>
    <row r="843" spans="1:15">
      <c r="A843" t="s">
        <v>1018</v>
      </c>
      <c r="B843" s="2">
        <v>46194</v>
      </c>
      <c r="C843" t="s">
        <v>615</v>
      </c>
      <c r="D843" t="s">
        <v>35</v>
      </c>
      <c r="E843" t="s">
        <v>50</v>
      </c>
      <c r="F843" t="s">
        <v>17</v>
      </c>
      <c r="G843">
        <v>1</v>
      </c>
      <c r="H843" s="3">
        <v>14.5</v>
      </c>
      <c r="I843" s="3">
        <v>14.5</v>
      </c>
      <c r="J843" t="s">
        <v>27</v>
      </c>
      <c r="K843">
        <v>10</v>
      </c>
      <c r="L843">
        <v>22</v>
      </c>
      <c r="M843" t="s">
        <v>19</v>
      </c>
      <c r="N843">
        <f t="shared" si="26"/>
        <v>14.5</v>
      </c>
      <c r="O843" t="b">
        <f t="shared" si="27"/>
        <v>1</v>
      </c>
    </row>
    <row r="844" spans="1:15">
      <c r="A844" t="s">
        <v>1019</v>
      </c>
      <c r="B844" s="2">
        <v>46284</v>
      </c>
      <c r="C844" t="s">
        <v>519</v>
      </c>
      <c r="D844" t="s">
        <v>35</v>
      </c>
      <c r="E844" t="s">
        <v>106</v>
      </c>
      <c r="F844" t="s">
        <v>17</v>
      </c>
      <c r="G844">
        <v>1</v>
      </c>
      <c r="H844" s="3">
        <v>15.95</v>
      </c>
      <c r="I844" s="3">
        <v>15.95</v>
      </c>
      <c r="J844" t="s">
        <v>27</v>
      </c>
      <c r="K844">
        <v>25</v>
      </c>
      <c r="L844">
        <v>16</v>
      </c>
      <c r="M844" t="s">
        <v>19</v>
      </c>
      <c r="N844">
        <f t="shared" si="26"/>
        <v>15.95</v>
      </c>
      <c r="O844" t="b">
        <f t="shared" si="27"/>
        <v>1</v>
      </c>
    </row>
    <row r="845" spans="1:15">
      <c r="A845" t="s">
        <v>1020</v>
      </c>
      <c r="B845" s="2">
        <v>46239</v>
      </c>
      <c r="C845" t="s">
        <v>314</v>
      </c>
      <c r="D845" t="s">
        <v>35</v>
      </c>
      <c r="E845" t="s">
        <v>83</v>
      </c>
      <c r="F845" t="s">
        <v>17</v>
      </c>
      <c r="G845">
        <v>2</v>
      </c>
      <c r="H845" s="3">
        <v>13.5</v>
      </c>
      <c r="I845" s="3">
        <v>27</v>
      </c>
      <c r="J845" t="s">
        <v>18</v>
      </c>
      <c r="K845">
        <v>21</v>
      </c>
      <c r="L845">
        <v>17</v>
      </c>
      <c r="M845" t="s">
        <v>19</v>
      </c>
      <c r="N845">
        <f t="shared" si="26"/>
        <v>27</v>
      </c>
      <c r="O845" t="b">
        <f t="shared" si="27"/>
        <v>1</v>
      </c>
    </row>
    <row r="846" spans="1:15">
      <c r="A846" t="s">
        <v>1021</v>
      </c>
      <c r="B846" s="2">
        <v>46086</v>
      </c>
      <c r="C846" t="s">
        <v>222</v>
      </c>
      <c r="D846" t="s">
        <v>15</v>
      </c>
      <c r="E846" t="s">
        <v>126</v>
      </c>
      <c r="F846" t="s">
        <v>31</v>
      </c>
      <c r="G846">
        <v>1</v>
      </c>
      <c r="H846" s="3">
        <v>7.95</v>
      </c>
      <c r="I846" s="3">
        <v>7.95</v>
      </c>
      <c r="J846" t="s">
        <v>18</v>
      </c>
      <c r="K846">
        <v>26</v>
      </c>
      <c r="L846">
        <v>5</v>
      </c>
      <c r="M846" t="s">
        <v>19</v>
      </c>
      <c r="N846">
        <f t="shared" si="26"/>
        <v>7.95</v>
      </c>
      <c r="O846" t="b">
        <f t="shared" si="27"/>
        <v>1</v>
      </c>
    </row>
    <row r="847" spans="1:15">
      <c r="A847" t="s">
        <v>1022</v>
      </c>
      <c r="B847" s="2">
        <v>46142</v>
      </c>
      <c r="C847" t="s">
        <v>326</v>
      </c>
      <c r="D847" t="s">
        <v>15</v>
      </c>
      <c r="E847" t="s">
        <v>121</v>
      </c>
      <c r="F847" t="s">
        <v>23</v>
      </c>
      <c r="G847">
        <v>2</v>
      </c>
      <c r="H847" s="3">
        <v>6.5</v>
      </c>
      <c r="I847" s="3">
        <v>13</v>
      </c>
      <c r="J847" t="s">
        <v>18</v>
      </c>
      <c r="K847">
        <v>13</v>
      </c>
      <c r="L847">
        <v>13</v>
      </c>
      <c r="M847" t="s">
        <v>19</v>
      </c>
      <c r="N847">
        <f t="shared" si="26"/>
        <v>13</v>
      </c>
      <c r="O847" t="b">
        <f t="shared" si="27"/>
        <v>1</v>
      </c>
    </row>
    <row r="848" spans="1:15">
      <c r="A848" t="s">
        <v>1023</v>
      </c>
      <c r="B848" s="2">
        <v>46149</v>
      </c>
      <c r="C848" t="s">
        <v>408</v>
      </c>
      <c r="D848" t="s">
        <v>15</v>
      </c>
      <c r="E848" t="s">
        <v>70</v>
      </c>
      <c r="F848" t="s">
        <v>17</v>
      </c>
      <c r="G848">
        <v>2</v>
      </c>
      <c r="H848" s="3">
        <v>12.5</v>
      </c>
      <c r="I848" s="3">
        <v>25</v>
      </c>
      <c r="J848" t="s">
        <v>32</v>
      </c>
      <c r="K848">
        <v>14</v>
      </c>
      <c r="L848">
        <v>12</v>
      </c>
      <c r="M848" t="s">
        <v>19</v>
      </c>
      <c r="N848">
        <f t="shared" si="26"/>
        <v>25</v>
      </c>
      <c r="O848" t="b">
        <f t="shared" si="27"/>
        <v>1</v>
      </c>
    </row>
    <row r="849" spans="1:15">
      <c r="A849" t="s">
        <v>1024</v>
      </c>
      <c r="B849" s="2">
        <v>46064</v>
      </c>
      <c r="C849" t="s">
        <v>150</v>
      </c>
      <c r="D849" t="s">
        <v>15</v>
      </c>
      <c r="E849" t="s">
        <v>103</v>
      </c>
      <c r="F849" t="s">
        <v>23</v>
      </c>
      <c r="G849">
        <v>1</v>
      </c>
      <c r="H849" s="3">
        <v>3.25</v>
      </c>
      <c r="I849" s="3">
        <v>3.25</v>
      </c>
      <c r="J849" t="s">
        <v>18</v>
      </c>
      <c r="K849">
        <v>12</v>
      </c>
      <c r="L849">
        <v>9</v>
      </c>
      <c r="M849" t="s">
        <v>19</v>
      </c>
      <c r="N849">
        <f t="shared" si="26"/>
        <v>3.25</v>
      </c>
      <c r="O849" t="b">
        <f t="shared" si="27"/>
        <v>1</v>
      </c>
    </row>
    <row r="850" spans="1:15">
      <c r="A850" t="s">
        <v>1025</v>
      </c>
      <c r="B850" s="2">
        <v>46229</v>
      </c>
      <c r="C850" t="s">
        <v>145</v>
      </c>
      <c r="D850" t="s">
        <v>35</v>
      </c>
      <c r="E850" t="s">
        <v>41</v>
      </c>
      <c r="F850" t="s">
        <v>31</v>
      </c>
      <c r="G850">
        <v>2</v>
      </c>
      <c r="H850" s="3">
        <v>5.5</v>
      </c>
      <c r="I850" s="3">
        <v>11</v>
      </c>
      <c r="J850" t="s">
        <v>53</v>
      </c>
      <c r="K850">
        <v>30</v>
      </c>
      <c r="L850">
        <v>14</v>
      </c>
      <c r="M850" t="s">
        <v>19</v>
      </c>
      <c r="N850">
        <f t="shared" si="26"/>
        <v>11</v>
      </c>
      <c r="O850" t="b">
        <f t="shared" si="27"/>
        <v>1</v>
      </c>
    </row>
    <row r="851" spans="1:15">
      <c r="A851" t="s">
        <v>1026</v>
      </c>
      <c r="B851" s="2">
        <v>46236</v>
      </c>
      <c r="C851" t="s">
        <v>75</v>
      </c>
      <c r="D851" t="s">
        <v>35</v>
      </c>
      <c r="E851" t="s">
        <v>50</v>
      </c>
      <c r="F851" t="s">
        <v>17</v>
      </c>
      <c r="G851">
        <v>1</v>
      </c>
      <c r="H851" s="3">
        <v>14.5</v>
      </c>
      <c r="I851" s="3">
        <v>14.5</v>
      </c>
      <c r="J851" t="s">
        <v>53</v>
      </c>
      <c r="K851">
        <v>5</v>
      </c>
      <c r="L851">
        <v>22</v>
      </c>
      <c r="M851" t="s">
        <v>19</v>
      </c>
      <c r="N851">
        <f t="shared" si="26"/>
        <v>14.5</v>
      </c>
      <c r="O851" t="b">
        <f t="shared" si="27"/>
        <v>1</v>
      </c>
    </row>
    <row r="852" spans="1:15">
      <c r="A852" t="s">
        <v>1027</v>
      </c>
      <c r="B852" s="2">
        <v>46285</v>
      </c>
      <c r="C852" t="s">
        <v>314</v>
      </c>
      <c r="D852" t="s">
        <v>35</v>
      </c>
      <c r="E852" t="s">
        <v>70</v>
      </c>
      <c r="F852" t="s">
        <v>17</v>
      </c>
      <c r="G852">
        <v>1</v>
      </c>
      <c r="H852" s="3">
        <v>12.5</v>
      </c>
      <c r="I852" s="3">
        <v>12.5</v>
      </c>
      <c r="J852" t="s">
        <v>53</v>
      </c>
      <c r="K852">
        <v>12</v>
      </c>
      <c r="L852">
        <v>19</v>
      </c>
      <c r="M852" t="s">
        <v>19</v>
      </c>
      <c r="N852">
        <f t="shared" si="26"/>
        <v>12.5</v>
      </c>
      <c r="O852" t="b">
        <f t="shared" si="27"/>
        <v>1</v>
      </c>
    </row>
    <row r="853" spans="1:15">
      <c r="A853" t="s">
        <v>1028</v>
      </c>
      <c r="B853" s="2">
        <v>46083</v>
      </c>
      <c r="C853" t="s">
        <v>34</v>
      </c>
      <c r="D853" t="s">
        <v>35</v>
      </c>
      <c r="E853" t="s">
        <v>59</v>
      </c>
      <c r="F853" t="s">
        <v>17</v>
      </c>
      <c r="G853">
        <v>1</v>
      </c>
      <c r="H853" s="3">
        <v>11.95</v>
      </c>
      <c r="I853" s="3">
        <v>11.95</v>
      </c>
      <c r="J853" t="s">
        <v>18</v>
      </c>
      <c r="K853">
        <v>2</v>
      </c>
      <c r="L853">
        <v>5</v>
      </c>
      <c r="M853" t="s">
        <v>19</v>
      </c>
      <c r="N853">
        <f t="shared" si="26"/>
        <v>11.95</v>
      </c>
      <c r="O853" t="b">
        <f t="shared" si="27"/>
        <v>1</v>
      </c>
    </row>
    <row r="854" spans="1:15">
      <c r="A854" t="s">
        <v>1029</v>
      </c>
      <c r="B854" s="2">
        <v>46083</v>
      </c>
      <c r="C854" t="s">
        <v>465</v>
      </c>
      <c r="D854" t="s">
        <v>15</v>
      </c>
      <c r="E854" t="s">
        <v>126</v>
      </c>
      <c r="F854" t="s">
        <v>31</v>
      </c>
      <c r="G854">
        <v>1</v>
      </c>
      <c r="H854" s="3">
        <v>7.95</v>
      </c>
      <c r="I854" s="3">
        <v>7.95</v>
      </c>
      <c r="J854" t="s">
        <v>53</v>
      </c>
      <c r="K854">
        <v>2</v>
      </c>
      <c r="L854">
        <v>21</v>
      </c>
      <c r="M854" t="s">
        <v>19</v>
      </c>
      <c r="N854">
        <f t="shared" si="26"/>
        <v>7.95</v>
      </c>
      <c r="O854" t="b">
        <f t="shared" si="27"/>
        <v>1</v>
      </c>
    </row>
    <row r="855" spans="1:15">
      <c r="A855" t="s">
        <v>1030</v>
      </c>
      <c r="B855" s="2">
        <v>46179</v>
      </c>
      <c r="C855" t="s">
        <v>85</v>
      </c>
      <c r="D855" t="s">
        <v>35</v>
      </c>
      <c r="E855" t="s">
        <v>103</v>
      </c>
      <c r="F855" t="s">
        <v>23</v>
      </c>
      <c r="G855">
        <v>1</v>
      </c>
      <c r="H855" s="3">
        <v>3.25</v>
      </c>
      <c r="I855" s="3">
        <v>3.25</v>
      </c>
      <c r="J855" t="s">
        <v>27</v>
      </c>
      <c r="K855">
        <v>12</v>
      </c>
      <c r="L855">
        <v>19</v>
      </c>
      <c r="M855" t="s">
        <v>19</v>
      </c>
      <c r="N855">
        <f t="shared" si="26"/>
        <v>3.25</v>
      </c>
      <c r="O855" t="b">
        <f t="shared" si="27"/>
        <v>1</v>
      </c>
    </row>
    <row r="856" spans="1:15">
      <c r="A856" t="s">
        <v>1031</v>
      </c>
      <c r="B856" s="2">
        <v>46045</v>
      </c>
      <c r="C856" t="s">
        <v>189</v>
      </c>
      <c r="D856" t="s">
        <v>35</v>
      </c>
      <c r="E856" t="s">
        <v>121</v>
      </c>
      <c r="F856" t="s">
        <v>23</v>
      </c>
      <c r="G856">
        <v>1</v>
      </c>
      <c r="H856" s="3">
        <v>6.5</v>
      </c>
      <c r="I856" s="3">
        <v>6.5</v>
      </c>
      <c r="J856" t="s">
        <v>32</v>
      </c>
      <c r="K856">
        <v>24</v>
      </c>
      <c r="L856">
        <v>14</v>
      </c>
      <c r="M856" t="s">
        <v>19</v>
      </c>
      <c r="N856">
        <f t="shared" si="26"/>
        <v>6.5</v>
      </c>
      <c r="O856" t="b">
        <f t="shared" si="27"/>
        <v>1</v>
      </c>
    </row>
    <row r="857" spans="1:15">
      <c r="A857" t="s">
        <v>1032</v>
      </c>
      <c r="B857" s="2">
        <v>46090</v>
      </c>
      <c r="C857" t="s">
        <v>130</v>
      </c>
      <c r="D857" t="s">
        <v>35</v>
      </c>
      <c r="E857" t="s">
        <v>96</v>
      </c>
      <c r="F857" t="s">
        <v>47</v>
      </c>
      <c r="G857">
        <v>2</v>
      </c>
      <c r="H857" s="3">
        <v>5.75</v>
      </c>
      <c r="I857" s="3">
        <v>11.5</v>
      </c>
      <c r="J857" t="s">
        <v>27</v>
      </c>
      <c r="K857">
        <v>15</v>
      </c>
      <c r="L857">
        <v>13</v>
      </c>
      <c r="M857" t="s">
        <v>19</v>
      </c>
      <c r="N857">
        <f t="shared" si="26"/>
        <v>11.5</v>
      </c>
      <c r="O857" t="b">
        <f t="shared" si="27"/>
        <v>1</v>
      </c>
    </row>
    <row r="858" spans="1:15">
      <c r="A858" t="s">
        <v>1033</v>
      </c>
      <c r="B858" s="2">
        <v>46189</v>
      </c>
      <c r="C858" t="s">
        <v>124</v>
      </c>
      <c r="D858" t="s">
        <v>15</v>
      </c>
      <c r="E858" t="s">
        <v>56</v>
      </c>
      <c r="F858" t="s">
        <v>23</v>
      </c>
      <c r="G858">
        <v>1</v>
      </c>
      <c r="H858" s="3">
        <v>3.75</v>
      </c>
      <c r="I858" s="3">
        <v>3.75</v>
      </c>
      <c r="J858" t="s">
        <v>53</v>
      </c>
      <c r="K858">
        <v>2</v>
      </c>
      <c r="L858">
        <v>13</v>
      </c>
      <c r="M858" t="s">
        <v>19</v>
      </c>
      <c r="N858">
        <f t="shared" si="26"/>
        <v>3.75</v>
      </c>
      <c r="O858" t="b">
        <f t="shared" si="27"/>
        <v>1</v>
      </c>
    </row>
    <row r="859" spans="1:15">
      <c r="A859" t="s">
        <v>1034</v>
      </c>
      <c r="B859" s="2">
        <v>46249</v>
      </c>
      <c r="C859" t="s">
        <v>279</v>
      </c>
      <c r="D859" t="s">
        <v>35</v>
      </c>
      <c r="E859" t="s">
        <v>106</v>
      </c>
      <c r="F859" t="s">
        <v>17</v>
      </c>
      <c r="G859">
        <v>2</v>
      </c>
      <c r="H859" s="3">
        <v>15.95</v>
      </c>
      <c r="I859" s="3">
        <v>31.9</v>
      </c>
      <c r="J859" t="s">
        <v>32</v>
      </c>
      <c r="K859">
        <v>21</v>
      </c>
      <c r="L859">
        <v>16</v>
      </c>
      <c r="M859" t="s">
        <v>19</v>
      </c>
      <c r="N859">
        <f t="shared" si="26"/>
        <v>31.9</v>
      </c>
      <c r="O859" t="b">
        <f t="shared" si="27"/>
        <v>1</v>
      </c>
    </row>
    <row r="860" spans="1:15">
      <c r="A860" t="s">
        <v>1035</v>
      </c>
      <c r="B860" s="2">
        <v>46181</v>
      </c>
      <c r="C860" t="s">
        <v>199</v>
      </c>
      <c r="D860" t="s">
        <v>35</v>
      </c>
      <c r="E860" t="s">
        <v>36</v>
      </c>
      <c r="F860" t="s">
        <v>23</v>
      </c>
      <c r="G860">
        <v>1</v>
      </c>
      <c r="H860" s="3">
        <v>2.8</v>
      </c>
      <c r="I860" s="3">
        <v>2.8</v>
      </c>
      <c r="J860" t="s">
        <v>18</v>
      </c>
      <c r="K860">
        <v>19</v>
      </c>
      <c r="L860">
        <v>3</v>
      </c>
      <c r="M860" t="s">
        <v>19</v>
      </c>
      <c r="N860">
        <f t="shared" si="26"/>
        <v>2.8</v>
      </c>
      <c r="O860" t="b">
        <f t="shared" si="27"/>
        <v>1</v>
      </c>
    </row>
    <row r="861" spans="1:15">
      <c r="A861" t="s">
        <v>1036</v>
      </c>
      <c r="B861" s="2">
        <v>46266</v>
      </c>
      <c r="C861" t="s">
        <v>265</v>
      </c>
      <c r="D861" t="s">
        <v>35</v>
      </c>
      <c r="E861" t="s">
        <v>36</v>
      </c>
      <c r="F861" t="s">
        <v>23</v>
      </c>
      <c r="G861">
        <v>1</v>
      </c>
      <c r="H861" s="3">
        <v>2.8</v>
      </c>
      <c r="I861" s="3">
        <v>2.8</v>
      </c>
      <c r="J861" t="s">
        <v>32</v>
      </c>
      <c r="K861">
        <v>9</v>
      </c>
      <c r="L861">
        <v>10</v>
      </c>
      <c r="M861" t="s">
        <v>19</v>
      </c>
      <c r="N861">
        <f t="shared" si="26"/>
        <v>2.8</v>
      </c>
      <c r="O861" t="b">
        <f t="shared" si="27"/>
        <v>1</v>
      </c>
    </row>
    <row r="862" spans="1:15">
      <c r="A862" t="s">
        <v>1037</v>
      </c>
      <c r="B862" s="2">
        <v>46148</v>
      </c>
      <c r="C862" t="s">
        <v>139</v>
      </c>
      <c r="D862" t="s">
        <v>35</v>
      </c>
      <c r="E862" t="s">
        <v>39</v>
      </c>
      <c r="F862" t="s">
        <v>17</v>
      </c>
      <c r="G862">
        <v>2</v>
      </c>
      <c r="H862" s="3">
        <v>12.95</v>
      </c>
      <c r="I862" s="3">
        <v>25.9</v>
      </c>
      <c r="J862" t="s">
        <v>53</v>
      </c>
      <c r="K862">
        <v>16</v>
      </c>
      <c r="L862">
        <v>16</v>
      </c>
      <c r="M862" t="s">
        <v>19</v>
      </c>
      <c r="N862">
        <f t="shared" si="26"/>
        <v>25.9</v>
      </c>
      <c r="O862" t="b">
        <f t="shared" si="27"/>
        <v>1</v>
      </c>
    </row>
    <row r="863" spans="1:15">
      <c r="A863" t="s">
        <v>1038</v>
      </c>
      <c r="B863" s="2">
        <v>46034</v>
      </c>
      <c r="C863" t="s">
        <v>429</v>
      </c>
      <c r="D863" t="s">
        <v>15</v>
      </c>
      <c r="E863" t="s">
        <v>26</v>
      </c>
      <c r="F863" t="s">
        <v>17</v>
      </c>
      <c r="G863">
        <v>2</v>
      </c>
      <c r="H863" s="3">
        <v>11.5</v>
      </c>
      <c r="I863" s="3">
        <v>23</v>
      </c>
      <c r="J863" t="s">
        <v>27</v>
      </c>
      <c r="K863">
        <v>13</v>
      </c>
      <c r="L863">
        <v>23</v>
      </c>
      <c r="M863" t="s">
        <v>19</v>
      </c>
      <c r="N863">
        <f t="shared" si="26"/>
        <v>23</v>
      </c>
      <c r="O863" t="b">
        <f t="shared" si="27"/>
        <v>1</v>
      </c>
    </row>
    <row r="864" spans="1:15">
      <c r="A864" t="s">
        <v>1039</v>
      </c>
      <c r="B864" s="2">
        <v>46081</v>
      </c>
      <c r="C864" t="s">
        <v>89</v>
      </c>
      <c r="D864" t="s">
        <v>35</v>
      </c>
      <c r="E864" t="s">
        <v>126</v>
      </c>
      <c r="F864" t="s">
        <v>31</v>
      </c>
      <c r="G864">
        <v>1</v>
      </c>
      <c r="H864" s="3">
        <v>7.95</v>
      </c>
      <c r="I864" s="3">
        <v>7.95</v>
      </c>
      <c r="J864" t="s">
        <v>18</v>
      </c>
      <c r="K864">
        <v>14</v>
      </c>
      <c r="L864">
        <v>20</v>
      </c>
      <c r="M864" t="s">
        <v>19</v>
      </c>
      <c r="N864">
        <f t="shared" si="26"/>
        <v>7.95</v>
      </c>
      <c r="O864" t="b">
        <f t="shared" si="27"/>
        <v>1</v>
      </c>
    </row>
    <row r="865" spans="1:15">
      <c r="A865" t="s">
        <v>1040</v>
      </c>
      <c r="B865" s="2">
        <v>46053</v>
      </c>
      <c r="C865" t="s">
        <v>120</v>
      </c>
      <c r="D865" t="s">
        <v>35</v>
      </c>
      <c r="E865" t="s">
        <v>26</v>
      </c>
      <c r="F865" t="s">
        <v>17</v>
      </c>
      <c r="G865">
        <v>2</v>
      </c>
      <c r="H865" s="3">
        <v>11.5</v>
      </c>
      <c r="I865" s="3">
        <v>23</v>
      </c>
      <c r="J865" t="s">
        <v>27</v>
      </c>
      <c r="K865">
        <v>13</v>
      </c>
      <c r="L865">
        <v>16</v>
      </c>
      <c r="M865" t="s">
        <v>19</v>
      </c>
      <c r="N865">
        <f t="shared" si="26"/>
        <v>23</v>
      </c>
      <c r="O865" t="b">
        <f t="shared" si="27"/>
        <v>1</v>
      </c>
    </row>
    <row r="866" spans="1:15">
      <c r="A866" t="s">
        <v>1041</v>
      </c>
      <c r="B866" s="2">
        <v>46095</v>
      </c>
      <c r="C866" t="s">
        <v>374</v>
      </c>
      <c r="D866" t="s">
        <v>35</v>
      </c>
      <c r="E866" t="s">
        <v>46</v>
      </c>
      <c r="F866" t="s">
        <v>47</v>
      </c>
      <c r="G866">
        <v>3</v>
      </c>
      <c r="H866" s="3">
        <v>6.95</v>
      </c>
      <c r="I866" s="3">
        <v>20.85</v>
      </c>
      <c r="J866" t="s">
        <v>18</v>
      </c>
      <c r="K866">
        <v>20</v>
      </c>
      <c r="L866">
        <v>24</v>
      </c>
      <c r="M866" t="s">
        <v>19</v>
      </c>
      <c r="N866">
        <f t="shared" si="26"/>
        <v>20.85</v>
      </c>
      <c r="O866" t="b">
        <f t="shared" si="27"/>
        <v>1</v>
      </c>
    </row>
    <row r="867" spans="1:15">
      <c r="A867" t="s">
        <v>1042</v>
      </c>
      <c r="B867" s="2">
        <v>46275</v>
      </c>
      <c r="C867" t="s">
        <v>145</v>
      </c>
      <c r="D867" t="s">
        <v>35</v>
      </c>
      <c r="E867" t="s">
        <v>59</v>
      </c>
      <c r="F867" t="s">
        <v>17</v>
      </c>
      <c r="G867">
        <v>1</v>
      </c>
      <c r="H867" s="3">
        <v>11.95</v>
      </c>
      <c r="I867" s="3">
        <v>11.95</v>
      </c>
      <c r="J867" t="s">
        <v>18</v>
      </c>
      <c r="K867">
        <v>15</v>
      </c>
      <c r="L867">
        <v>21</v>
      </c>
      <c r="M867" t="s">
        <v>19</v>
      </c>
      <c r="N867">
        <f t="shared" si="26"/>
        <v>11.95</v>
      </c>
      <c r="O867" t="b">
        <f t="shared" si="27"/>
        <v>1</v>
      </c>
    </row>
    <row r="868" spans="1:15">
      <c r="A868" t="s">
        <v>1043</v>
      </c>
      <c r="B868" s="2">
        <v>46056</v>
      </c>
      <c r="C868" t="s">
        <v>137</v>
      </c>
      <c r="D868" t="s">
        <v>35</v>
      </c>
      <c r="E868" t="s">
        <v>16</v>
      </c>
      <c r="F868" t="s">
        <v>17</v>
      </c>
      <c r="G868">
        <v>3</v>
      </c>
      <c r="H868" s="3">
        <v>9.9499999999999993</v>
      </c>
      <c r="I868" s="3">
        <v>29.85</v>
      </c>
      <c r="J868" t="s">
        <v>27</v>
      </c>
      <c r="K868">
        <v>22</v>
      </c>
      <c r="L868">
        <v>18</v>
      </c>
      <c r="M868" t="s">
        <v>19</v>
      </c>
      <c r="N868">
        <f t="shared" si="26"/>
        <v>29.849999999999998</v>
      </c>
      <c r="O868" t="b">
        <f t="shared" si="27"/>
        <v>1</v>
      </c>
    </row>
    <row r="869" spans="1:15">
      <c r="A869" t="s">
        <v>1044</v>
      </c>
      <c r="B869" s="2">
        <v>46087</v>
      </c>
      <c r="C869" t="s">
        <v>385</v>
      </c>
      <c r="D869" t="s">
        <v>15</v>
      </c>
      <c r="E869" t="s">
        <v>39</v>
      </c>
      <c r="F869" t="s">
        <v>17</v>
      </c>
      <c r="G869">
        <v>2</v>
      </c>
      <c r="H869" s="3">
        <v>12.95</v>
      </c>
      <c r="I869" s="3">
        <v>25.9</v>
      </c>
      <c r="J869" t="s">
        <v>32</v>
      </c>
      <c r="K869">
        <v>7</v>
      </c>
      <c r="L869">
        <v>31</v>
      </c>
      <c r="M869" t="s">
        <v>19</v>
      </c>
      <c r="N869">
        <f t="shared" si="26"/>
        <v>25.9</v>
      </c>
      <c r="O869" t="b">
        <f t="shared" si="27"/>
        <v>1</v>
      </c>
    </row>
    <row r="870" spans="1:15">
      <c r="A870" t="s">
        <v>1045</v>
      </c>
      <c r="B870" s="2">
        <v>46095</v>
      </c>
      <c r="C870" t="s">
        <v>21</v>
      </c>
      <c r="D870" t="s">
        <v>15</v>
      </c>
      <c r="E870" t="s">
        <v>36</v>
      </c>
      <c r="F870" t="s">
        <v>23</v>
      </c>
      <c r="G870">
        <v>3</v>
      </c>
      <c r="H870" s="3">
        <v>2.8</v>
      </c>
      <c r="I870" s="3">
        <v>8.4</v>
      </c>
      <c r="J870" t="s">
        <v>53</v>
      </c>
      <c r="K870">
        <v>15</v>
      </c>
      <c r="L870">
        <v>8</v>
      </c>
      <c r="M870" t="s">
        <v>19</v>
      </c>
      <c r="N870">
        <f t="shared" si="26"/>
        <v>8.3999999999999986</v>
      </c>
      <c r="O870" t="b">
        <f t="shared" si="27"/>
        <v>1</v>
      </c>
    </row>
    <row r="871" spans="1:15">
      <c r="A871" t="s">
        <v>1046</v>
      </c>
      <c r="B871" s="2">
        <v>46171</v>
      </c>
      <c r="C871" t="s">
        <v>286</v>
      </c>
      <c r="D871" t="s">
        <v>35</v>
      </c>
      <c r="E871" t="s">
        <v>83</v>
      </c>
      <c r="F871" t="s">
        <v>17</v>
      </c>
      <c r="G871">
        <v>3</v>
      </c>
      <c r="H871" s="3">
        <v>13.5</v>
      </c>
      <c r="I871" s="3">
        <v>40.5</v>
      </c>
      <c r="J871" t="s">
        <v>18</v>
      </c>
      <c r="K871">
        <v>9</v>
      </c>
      <c r="L871">
        <v>20</v>
      </c>
      <c r="M871" t="s">
        <v>19</v>
      </c>
      <c r="N871">
        <f t="shared" si="26"/>
        <v>40.5</v>
      </c>
      <c r="O871" t="b">
        <f t="shared" si="27"/>
        <v>1</v>
      </c>
    </row>
    <row r="872" spans="1:15">
      <c r="A872" t="s">
        <v>1047</v>
      </c>
      <c r="B872" s="2">
        <v>46217</v>
      </c>
      <c r="C872" t="s">
        <v>114</v>
      </c>
      <c r="D872" t="s">
        <v>35</v>
      </c>
      <c r="E872" t="s">
        <v>121</v>
      </c>
      <c r="F872" t="s">
        <v>23</v>
      </c>
      <c r="G872">
        <v>2</v>
      </c>
      <c r="H872" s="3">
        <v>6.5</v>
      </c>
      <c r="I872" s="3">
        <v>13</v>
      </c>
      <c r="J872" t="s">
        <v>27</v>
      </c>
      <c r="K872">
        <v>19</v>
      </c>
      <c r="L872">
        <v>22</v>
      </c>
      <c r="M872" t="s">
        <v>19</v>
      </c>
      <c r="N872">
        <f t="shared" si="26"/>
        <v>13</v>
      </c>
      <c r="O872" t="b">
        <f t="shared" si="27"/>
        <v>1</v>
      </c>
    </row>
    <row r="873" spans="1:15">
      <c r="A873" t="s">
        <v>1048</v>
      </c>
      <c r="B873" s="2">
        <v>46068</v>
      </c>
      <c r="C873" t="s">
        <v>142</v>
      </c>
      <c r="D873" t="s">
        <v>35</v>
      </c>
      <c r="E873" t="s">
        <v>36</v>
      </c>
      <c r="F873" t="s">
        <v>23</v>
      </c>
      <c r="G873">
        <v>4</v>
      </c>
      <c r="H873" s="3">
        <v>2.8</v>
      </c>
      <c r="I873" s="3">
        <v>11.2</v>
      </c>
      <c r="J873" t="s">
        <v>18</v>
      </c>
      <c r="K873">
        <v>7</v>
      </c>
      <c r="L873">
        <v>15</v>
      </c>
      <c r="M873" t="s">
        <v>19</v>
      </c>
      <c r="N873">
        <f t="shared" si="26"/>
        <v>11.2</v>
      </c>
      <c r="O873" t="b">
        <f t="shared" si="27"/>
        <v>1</v>
      </c>
    </row>
    <row r="874" spans="1:15">
      <c r="A874" t="s">
        <v>1049</v>
      </c>
      <c r="B874" s="2">
        <v>46185</v>
      </c>
      <c r="C874" t="s">
        <v>64</v>
      </c>
      <c r="D874" t="s">
        <v>35</v>
      </c>
      <c r="E874" t="s">
        <v>41</v>
      </c>
      <c r="F874" t="s">
        <v>31</v>
      </c>
      <c r="G874">
        <v>4</v>
      </c>
      <c r="H874" s="3">
        <v>5.5</v>
      </c>
      <c r="I874" s="3">
        <v>22</v>
      </c>
      <c r="J874" t="s">
        <v>27</v>
      </c>
      <c r="K874">
        <v>11</v>
      </c>
      <c r="L874">
        <v>15</v>
      </c>
      <c r="M874" t="s">
        <v>19</v>
      </c>
      <c r="N874">
        <f t="shared" si="26"/>
        <v>22</v>
      </c>
      <c r="O874" t="b">
        <f t="shared" si="27"/>
        <v>1</v>
      </c>
    </row>
    <row r="875" spans="1:15">
      <c r="A875" t="s">
        <v>1050</v>
      </c>
      <c r="B875" s="2">
        <v>46258</v>
      </c>
      <c r="C875" t="s">
        <v>263</v>
      </c>
      <c r="D875" t="s">
        <v>35</v>
      </c>
      <c r="E875" t="s">
        <v>50</v>
      </c>
      <c r="F875" t="s">
        <v>17</v>
      </c>
      <c r="G875">
        <v>2</v>
      </c>
      <c r="H875" s="3">
        <v>14.5</v>
      </c>
      <c r="I875" s="3">
        <v>29</v>
      </c>
      <c r="J875" t="s">
        <v>18</v>
      </c>
      <c r="K875">
        <v>20</v>
      </c>
      <c r="L875">
        <v>21</v>
      </c>
      <c r="M875" t="s">
        <v>19</v>
      </c>
      <c r="N875">
        <f t="shared" si="26"/>
        <v>29</v>
      </c>
      <c r="O875" t="b">
        <f t="shared" si="27"/>
        <v>1</v>
      </c>
    </row>
    <row r="876" spans="1:15">
      <c r="A876" t="s">
        <v>1051</v>
      </c>
      <c r="B876" s="2">
        <v>46027</v>
      </c>
      <c r="C876" t="s">
        <v>208</v>
      </c>
      <c r="D876" t="s">
        <v>35</v>
      </c>
      <c r="E876" t="s">
        <v>103</v>
      </c>
      <c r="F876" t="s">
        <v>23</v>
      </c>
      <c r="G876">
        <v>2</v>
      </c>
      <c r="H876" s="3">
        <v>3.25</v>
      </c>
      <c r="I876" s="3">
        <v>6.5</v>
      </c>
      <c r="J876" t="s">
        <v>27</v>
      </c>
      <c r="K876">
        <v>21</v>
      </c>
      <c r="L876">
        <v>23</v>
      </c>
      <c r="M876" t="s">
        <v>19</v>
      </c>
      <c r="N876">
        <f t="shared" si="26"/>
        <v>6.5</v>
      </c>
      <c r="O876" t="b">
        <f t="shared" si="27"/>
        <v>1</v>
      </c>
    </row>
    <row r="877" spans="1:15">
      <c r="A877" t="s">
        <v>1052</v>
      </c>
      <c r="B877" s="2">
        <v>46038</v>
      </c>
      <c r="C877" t="s">
        <v>49</v>
      </c>
      <c r="D877" t="s">
        <v>35</v>
      </c>
      <c r="E877" t="s">
        <v>59</v>
      </c>
      <c r="F877" t="s">
        <v>17</v>
      </c>
      <c r="G877">
        <v>1</v>
      </c>
      <c r="H877" s="3">
        <v>11.95</v>
      </c>
      <c r="I877" s="3">
        <v>11.95</v>
      </c>
      <c r="J877" t="s">
        <v>18</v>
      </c>
      <c r="K877">
        <v>27</v>
      </c>
      <c r="L877">
        <v>25</v>
      </c>
      <c r="M877" t="s">
        <v>19</v>
      </c>
      <c r="N877">
        <f t="shared" si="26"/>
        <v>11.95</v>
      </c>
      <c r="O877" t="b">
        <f t="shared" si="27"/>
        <v>1</v>
      </c>
    </row>
    <row r="878" spans="1:15">
      <c r="A878" t="s">
        <v>1053</v>
      </c>
      <c r="B878" s="2">
        <v>46221</v>
      </c>
      <c r="C878" t="s">
        <v>322</v>
      </c>
      <c r="D878" t="s">
        <v>15</v>
      </c>
      <c r="E878" t="s">
        <v>96</v>
      </c>
      <c r="F878" t="s">
        <v>47</v>
      </c>
      <c r="G878">
        <v>1</v>
      </c>
      <c r="H878" s="3">
        <v>5.75</v>
      </c>
      <c r="I878" s="3">
        <v>5.75</v>
      </c>
      <c r="J878" t="s">
        <v>32</v>
      </c>
      <c r="K878">
        <v>1</v>
      </c>
      <c r="L878">
        <v>12</v>
      </c>
      <c r="M878" t="s">
        <v>19</v>
      </c>
      <c r="N878">
        <f t="shared" si="26"/>
        <v>5.75</v>
      </c>
      <c r="O878" t="b">
        <f t="shared" si="27"/>
        <v>1</v>
      </c>
    </row>
    <row r="879" spans="1:15">
      <c r="A879" t="s">
        <v>1054</v>
      </c>
      <c r="B879" s="2">
        <v>46206</v>
      </c>
      <c r="C879" t="s">
        <v>124</v>
      </c>
      <c r="D879" t="s">
        <v>15</v>
      </c>
      <c r="E879" t="s">
        <v>126</v>
      </c>
      <c r="F879" t="s">
        <v>31</v>
      </c>
      <c r="G879">
        <v>2</v>
      </c>
      <c r="H879" s="3">
        <v>7.95</v>
      </c>
      <c r="I879" s="3">
        <v>15.9</v>
      </c>
      <c r="J879" t="s">
        <v>53</v>
      </c>
      <c r="K879">
        <v>8</v>
      </c>
      <c r="L879">
        <v>17</v>
      </c>
      <c r="M879" t="s">
        <v>19</v>
      </c>
      <c r="N879">
        <f t="shared" si="26"/>
        <v>15.9</v>
      </c>
      <c r="O879" t="b">
        <f t="shared" si="27"/>
        <v>1</v>
      </c>
    </row>
    <row r="880" spans="1:15">
      <c r="A880" t="s">
        <v>1055</v>
      </c>
      <c r="B880" s="2">
        <v>46208</v>
      </c>
      <c r="C880" t="s">
        <v>489</v>
      </c>
      <c r="D880" t="s">
        <v>15</v>
      </c>
      <c r="E880" t="s">
        <v>56</v>
      </c>
      <c r="F880" t="s">
        <v>23</v>
      </c>
      <c r="G880">
        <v>1</v>
      </c>
      <c r="H880" s="3">
        <v>3.75</v>
      </c>
      <c r="I880" s="3">
        <v>3.75</v>
      </c>
      <c r="J880" t="s">
        <v>53</v>
      </c>
      <c r="K880">
        <v>4</v>
      </c>
      <c r="L880">
        <v>17</v>
      </c>
      <c r="M880" t="s">
        <v>19</v>
      </c>
      <c r="N880">
        <f t="shared" si="26"/>
        <v>3.75</v>
      </c>
      <c r="O880" t="b">
        <f t="shared" si="27"/>
        <v>1</v>
      </c>
    </row>
    <row r="881" spans="1:15">
      <c r="A881" t="s">
        <v>1056</v>
      </c>
      <c r="B881" s="2">
        <v>46279</v>
      </c>
      <c r="C881" t="s">
        <v>156</v>
      </c>
      <c r="D881" t="s">
        <v>35</v>
      </c>
      <c r="E881" t="s">
        <v>121</v>
      </c>
      <c r="F881" t="s">
        <v>23</v>
      </c>
      <c r="G881">
        <v>2</v>
      </c>
      <c r="H881" s="3">
        <v>6.5</v>
      </c>
      <c r="I881" s="3">
        <v>13</v>
      </c>
      <c r="J881" t="s">
        <v>27</v>
      </c>
      <c r="K881">
        <v>19</v>
      </c>
      <c r="L881">
        <v>12</v>
      </c>
      <c r="M881" t="s">
        <v>19</v>
      </c>
      <c r="N881">
        <f t="shared" si="26"/>
        <v>13</v>
      </c>
      <c r="O881" t="b">
        <f t="shared" si="27"/>
        <v>1</v>
      </c>
    </row>
    <row r="882" spans="1:15">
      <c r="A882" t="s">
        <v>1057</v>
      </c>
      <c r="B882" s="2">
        <v>46088</v>
      </c>
      <c r="C882" t="s">
        <v>158</v>
      </c>
      <c r="D882" t="s">
        <v>35</v>
      </c>
      <c r="E882" t="s">
        <v>121</v>
      </c>
      <c r="F882" t="s">
        <v>23</v>
      </c>
      <c r="G882">
        <v>2</v>
      </c>
      <c r="H882" s="3">
        <v>6.5</v>
      </c>
      <c r="I882" s="3">
        <v>13</v>
      </c>
      <c r="J882" t="s">
        <v>18</v>
      </c>
      <c r="K882">
        <v>28</v>
      </c>
      <c r="L882">
        <v>12</v>
      </c>
      <c r="M882" t="s">
        <v>19</v>
      </c>
      <c r="N882">
        <f t="shared" si="26"/>
        <v>13</v>
      </c>
      <c r="O882" t="b">
        <f t="shared" si="27"/>
        <v>1</v>
      </c>
    </row>
    <row r="883" spans="1:15">
      <c r="A883" t="s">
        <v>1058</v>
      </c>
      <c r="B883" s="2">
        <v>46295</v>
      </c>
      <c r="C883" t="s">
        <v>99</v>
      </c>
      <c r="D883" t="s">
        <v>35</v>
      </c>
      <c r="E883" t="s">
        <v>96</v>
      </c>
      <c r="F883" t="s">
        <v>47</v>
      </c>
      <c r="G883">
        <v>1</v>
      </c>
      <c r="H883" s="3">
        <v>5.75</v>
      </c>
      <c r="I883" s="3">
        <v>5.75</v>
      </c>
      <c r="J883" t="s">
        <v>18</v>
      </c>
      <c r="K883">
        <v>21</v>
      </c>
      <c r="L883">
        <v>15</v>
      </c>
      <c r="M883" t="s">
        <v>19</v>
      </c>
      <c r="N883">
        <f t="shared" si="26"/>
        <v>5.75</v>
      </c>
      <c r="O883" t="b">
        <f t="shared" si="27"/>
        <v>1</v>
      </c>
    </row>
    <row r="884" spans="1:15">
      <c r="A884" t="s">
        <v>1059</v>
      </c>
      <c r="B884" s="2">
        <v>46049</v>
      </c>
      <c r="C884" t="s">
        <v>173</v>
      </c>
      <c r="D884" t="s">
        <v>35</v>
      </c>
      <c r="E884" t="s">
        <v>78</v>
      </c>
      <c r="F884" t="s">
        <v>47</v>
      </c>
      <c r="G884">
        <v>1</v>
      </c>
      <c r="H884" s="3">
        <v>7.25</v>
      </c>
      <c r="I884" s="3">
        <v>7.25</v>
      </c>
      <c r="J884" t="s">
        <v>32</v>
      </c>
      <c r="K884">
        <v>17</v>
      </c>
      <c r="L884">
        <v>13</v>
      </c>
      <c r="M884" t="s">
        <v>19</v>
      </c>
      <c r="N884">
        <f t="shared" si="26"/>
        <v>7.25</v>
      </c>
      <c r="O884" t="b">
        <f t="shared" si="27"/>
        <v>1</v>
      </c>
    </row>
    <row r="885" spans="1:15">
      <c r="A885" t="s">
        <v>1060</v>
      </c>
      <c r="B885" s="2">
        <v>46137</v>
      </c>
      <c r="C885" t="s">
        <v>284</v>
      </c>
      <c r="D885" t="s">
        <v>15</v>
      </c>
      <c r="E885" t="s">
        <v>96</v>
      </c>
      <c r="F885" t="s">
        <v>47</v>
      </c>
      <c r="G885">
        <v>1</v>
      </c>
      <c r="H885" s="3">
        <v>5.75</v>
      </c>
      <c r="I885" s="3">
        <v>5.75</v>
      </c>
      <c r="J885" t="s">
        <v>27</v>
      </c>
      <c r="K885">
        <v>7</v>
      </c>
      <c r="L885">
        <v>15</v>
      </c>
      <c r="M885" t="s">
        <v>19</v>
      </c>
      <c r="N885">
        <f t="shared" si="26"/>
        <v>5.75</v>
      </c>
      <c r="O885" t="b">
        <f t="shared" si="27"/>
        <v>1</v>
      </c>
    </row>
    <row r="886" spans="1:15">
      <c r="A886" t="s">
        <v>1061</v>
      </c>
      <c r="B886" s="2">
        <v>46035</v>
      </c>
      <c r="C886" t="s">
        <v>448</v>
      </c>
      <c r="D886" t="s">
        <v>35</v>
      </c>
      <c r="E886" t="s">
        <v>78</v>
      </c>
      <c r="F886" t="s">
        <v>47</v>
      </c>
      <c r="G886">
        <v>3</v>
      </c>
      <c r="H886" s="3">
        <v>7.25</v>
      </c>
      <c r="I886" s="3">
        <v>21.75</v>
      </c>
      <c r="J886" t="s">
        <v>18</v>
      </c>
      <c r="K886">
        <v>3</v>
      </c>
      <c r="L886">
        <v>21</v>
      </c>
      <c r="M886" t="s">
        <v>19</v>
      </c>
      <c r="N886">
        <f t="shared" si="26"/>
        <v>21.75</v>
      </c>
      <c r="O886" t="b">
        <f t="shared" si="27"/>
        <v>1</v>
      </c>
    </row>
    <row r="887" spans="1:15">
      <c r="A887" t="s">
        <v>1062</v>
      </c>
      <c r="B887" s="2">
        <v>46072</v>
      </c>
      <c r="C887" t="s">
        <v>214</v>
      </c>
      <c r="D887" t="s">
        <v>15</v>
      </c>
      <c r="E887" t="s">
        <v>121</v>
      </c>
      <c r="F887" t="s">
        <v>23</v>
      </c>
      <c r="G887">
        <v>2</v>
      </c>
      <c r="H887" s="3">
        <v>6.5</v>
      </c>
      <c r="I887" s="3">
        <v>13</v>
      </c>
      <c r="J887" t="s">
        <v>27</v>
      </c>
      <c r="K887">
        <v>27</v>
      </c>
      <c r="L887">
        <v>14</v>
      </c>
      <c r="M887" t="s">
        <v>19</v>
      </c>
      <c r="N887">
        <f t="shared" si="26"/>
        <v>13</v>
      </c>
      <c r="O887" t="b">
        <f t="shared" si="27"/>
        <v>1</v>
      </c>
    </row>
    <row r="888" spans="1:15">
      <c r="A888" t="s">
        <v>1063</v>
      </c>
      <c r="B888" s="2">
        <v>46078</v>
      </c>
      <c r="C888" t="s">
        <v>263</v>
      </c>
      <c r="D888" t="s">
        <v>35</v>
      </c>
      <c r="E888" t="s">
        <v>93</v>
      </c>
      <c r="F888" t="s">
        <v>31</v>
      </c>
      <c r="G888">
        <v>1</v>
      </c>
      <c r="H888" s="3">
        <v>6.25</v>
      </c>
      <c r="I888" s="3">
        <v>6.25</v>
      </c>
      <c r="J888" t="s">
        <v>18</v>
      </c>
      <c r="K888">
        <v>20</v>
      </c>
      <c r="L888">
        <v>29</v>
      </c>
      <c r="M888" t="s">
        <v>19</v>
      </c>
      <c r="N888">
        <f t="shared" si="26"/>
        <v>6.25</v>
      </c>
      <c r="O888" t="b">
        <f t="shared" si="27"/>
        <v>1</v>
      </c>
    </row>
    <row r="889" spans="1:15">
      <c r="A889" t="s">
        <v>1064</v>
      </c>
      <c r="B889" s="2">
        <v>46071</v>
      </c>
      <c r="C889" t="s">
        <v>82</v>
      </c>
      <c r="D889" t="s">
        <v>35</v>
      </c>
      <c r="E889" t="s">
        <v>39</v>
      </c>
      <c r="F889" t="s">
        <v>17</v>
      </c>
      <c r="G889">
        <v>4</v>
      </c>
      <c r="H889" s="3">
        <v>12.95</v>
      </c>
      <c r="I889" s="3">
        <v>51.8</v>
      </c>
      <c r="J889" t="s">
        <v>27</v>
      </c>
      <c r="K889">
        <v>13</v>
      </c>
      <c r="L889">
        <v>16</v>
      </c>
      <c r="M889" t="s">
        <v>19</v>
      </c>
      <c r="N889">
        <f t="shared" si="26"/>
        <v>51.8</v>
      </c>
      <c r="O889" t="b">
        <f t="shared" si="27"/>
        <v>1</v>
      </c>
    </row>
    <row r="890" spans="1:15">
      <c r="A890" t="s">
        <v>1065</v>
      </c>
      <c r="B890" s="2">
        <v>46056</v>
      </c>
      <c r="C890" t="s">
        <v>381</v>
      </c>
      <c r="D890" t="s">
        <v>35</v>
      </c>
      <c r="E890" t="s">
        <v>83</v>
      </c>
      <c r="F890" t="s">
        <v>17</v>
      </c>
      <c r="G890">
        <v>1</v>
      </c>
      <c r="H890" s="3">
        <v>13.5</v>
      </c>
      <c r="I890" s="3">
        <v>13.5</v>
      </c>
      <c r="J890" t="s">
        <v>18</v>
      </c>
      <c r="K890">
        <v>2</v>
      </c>
      <c r="L890">
        <v>17</v>
      </c>
      <c r="M890" t="s">
        <v>19</v>
      </c>
      <c r="N890">
        <f t="shared" si="26"/>
        <v>13.5</v>
      </c>
      <c r="O890" t="b">
        <f t="shared" si="27"/>
        <v>1</v>
      </c>
    </row>
    <row r="891" spans="1:15">
      <c r="A891" t="s">
        <v>1066</v>
      </c>
      <c r="B891" s="2">
        <v>46173</v>
      </c>
      <c r="C891" t="s">
        <v>34</v>
      </c>
      <c r="D891" t="s">
        <v>35</v>
      </c>
      <c r="E891" t="s">
        <v>56</v>
      </c>
      <c r="F891" t="s">
        <v>23</v>
      </c>
      <c r="G891">
        <v>2</v>
      </c>
      <c r="H891" s="3">
        <v>3.75</v>
      </c>
      <c r="I891" s="3">
        <v>7.5</v>
      </c>
      <c r="J891" t="s">
        <v>18</v>
      </c>
      <c r="K891">
        <v>28</v>
      </c>
      <c r="L891">
        <v>14</v>
      </c>
      <c r="M891" t="s">
        <v>19</v>
      </c>
      <c r="N891">
        <f t="shared" si="26"/>
        <v>7.5</v>
      </c>
      <c r="O891" t="b">
        <f t="shared" si="27"/>
        <v>1</v>
      </c>
    </row>
    <row r="892" spans="1:15">
      <c r="A892" t="s">
        <v>1067</v>
      </c>
      <c r="B892" s="2">
        <v>46028</v>
      </c>
      <c r="C892" t="s">
        <v>212</v>
      </c>
      <c r="D892" t="s">
        <v>35</v>
      </c>
      <c r="E892" t="s">
        <v>56</v>
      </c>
      <c r="F892" t="s">
        <v>23</v>
      </c>
      <c r="G892">
        <v>2</v>
      </c>
      <c r="H892" s="3">
        <v>3.75</v>
      </c>
      <c r="I892" s="3">
        <v>7.5</v>
      </c>
      <c r="J892" t="s">
        <v>18</v>
      </c>
      <c r="K892">
        <v>1</v>
      </c>
      <c r="L892">
        <v>7</v>
      </c>
      <c r="M892" t="s">
        <v>19</v>
      </c>
      <c r="N892">
        <f t="shared" si="26"/>
        <v>7.5</v>
      </c>
      <c r="O892" t="b">
        <f t="shared" si="27"/>
        <v>1</v>
      </c>
    </row>
    <row r="893" spans="1:15">
      <c r="A893" t="s">
        <v>1068</v>
      </c>
      <c r="B893" s="2">
        <v>46191</v>
      </c>
      <c r="C893" t="s">
        <v>265</v>
      </c>
      <c r="D893" t="s">
        <v>35</v>
      </c>
      <c r="E893" t="s">
        <v>26</v>
      </c>
      <c r="F893" t="s">
        <v>17</v>
      </c>
      <c r="G893">
        <v>2</v>
      </c>
      <c r="H893" s="3">
        <v>11.5</v>
      </c>
      <c r="I893" s="3">
        <v>23</v>
      </c>
      <c r="J893" t="s">
        <v>32</v>
      </c>
      <c r="K893">
        <v>19</v>
      </c>
      <c r="L893">
        <v>12</v>
      </c>
      <c r="M893" t="s">
        <v>19</v>
      </c>
      <c r="N893">
        <f t="shared" si="26"/>
        <v>23</v>
      </c>
      <c r="O893" t="b">
        <f t="shared" si="27"/>
        <v>1</v>
      </c>
    </row>
    <row r="894" spans="1:15">
      <c r="A894" t="s">
        <v>1069</v>
      </c>
      <c r="B894" s="2">
        <v>46122</v>
      </c>
      <c r="C894" t="s">
        <v>110</v>
      </c>
      <c r="D894" t="s">
        <v>35</v>
      </c>
      <c r="E894" t="s">
        <v>22</v>
      </c>
      <c r="F894" t="s">
        <v>23</v>
      </c>
      <c r="G894">
        <v>1</v>
      </c>
      <c r="H894" s="3">
        <v>3.1</v>
      </c>
      <c r="I894" s="3">
        <v>3.1</v>
      </c>
      <c r="J894" t="s">
        <v>27</v>
      </c>
      <c r="K894">
        <v>6</v>
      </c>
      <c r="L894">
        <v>4</v>
      </c>
      <c r="M894" t="s">
        <v>19</v>
      </c>
      <c r="N894">
        <f t="shared" si="26"/>
        <v>3.1</v>
      </c>
      <c r="O894" t="b">
        <f t="shared" si="27"/>
        <v>1</v>
      </c>
    </row>
    <row r="895" spans="1:15">
      <c r="A895" t="s">
        <v>1070</v>
      </c>
      <c r="B895" s="2">
        <v>46045</v>
      </c>
      <c r="C895" t="s">
        <v>295</v>
      </c>
      <c r="D895" t="s">
        <v>15</v>
      </c>
      <c r="E895" t="s">
        <v>78</v>
      </c>
      <c r="F895" t="s">
        <v>47</v>
      </c>
      <c r="G895">
        <v>1</v>
      </c>
      <c r="H895" s="3">
        <v>7.25</v>
      </c>
      <c r="I895" s="3">
        <v>7.25</v>
      </c>
      <c r="J895" t="s">
        <v>18</v>
      </c>
      <c r="K895">
        <v>25</v>
      </c>
      <c r="L895">
        <v>16</v>
      </c>
      <c r="M895" t="s">
        <v>19</v>
      </c>
      <c r="N895">
        <f t="shared" si="26"/>
        <v>7.25</v>
      </c>
      <c r="O895" t="b">
        <f t="shared" si="27"/>
        <v>1</v>
      </c>
    </row>
    <row r="896" spans="1:15">
      <c r="A896" t="s">
        <v>1071</v>
      </c>
      <c r="B896" s="2">
        <v>46097</v>
      </c>
      <c r="C896" t="s">
        <v>295</v>
      </c>
      <c r="D896" t="s">
        <v>15</v>
      </c>
      <c r="E896" t="s">
        <v>93</v>
      </c>
      <c r="F896" t="s">
        <v>31</v>
      </c>
      <c r="G896">
        <v>1</v>
      </c>
      <c r="H896" s="3">
        <v>6.25</v>
      </c>
      <c r="I896" s="3">
        <v>6.25</v>
      </c>
      <c r="J896" t="s">
        <v>27</v>
      </c>
      <c r="K896">
        <v>5</v>
      </c>
      <c r="L896">
        <v>7</v>
      </c>
      <c r="M896" t="s">
        <v>19</v>
      </c>
      <c r="N896">
        <f t="shared" si="26"/>
        <v>6.25</v>
      </c>
      <c r="O896" t="b">
        <f t="shared" si="27"/>
        <v>1</v>
      </c>
    </row>
    <row r="897" spans="1:15">
      <c r="A897" t="s">
        <v>1072</v>
      </c>
      <c r="B897" s="2">
        <v>46282</v>
      </c>
      <c r="C897" t="s">
        <v>191</v>
      </c>
      <c r="D897" t="s">
        <v>35</v>
      </c>
      <c r="E897" t="s">
        <v>78</v>
      </c>
      <c r="F897" t="s">
        <v>47</v>
      </c>
      <c r="G897">
        <v>1</v>
      </c>
      <c r="H897" s="3">
        <v>7.25</v>
      </c>
      <c r="I897" s="3">
        <v>7.25</v>
      </c>
      <c r="J897" t="s">
        <v>53</v>
      </c>
      <c r="K897">
        <v>21</v>
      </c>
      <c r="L897">
        <v>19</v>
      </c>
      <c r="M897" t="s">
        <v>19</v>
      </c>
      <c r="N897">
        <f t="shared" si="26"/>
        <v>7.25</v>
      </c>
      <c r="O897" t="b">
        <f t="shared" si="27"/>
        <v>1</v>
      </c>
    </row>
    <row r="898" spans="1:15">
      <c r="A898" t="s">
        <v>1073</v>
      </c>
      <c r="B898" s="2">
        <v>46058</v>
      </c>
      <c r="C898" t="s">
        <v>489</v>
      </c>
      <c r="D898" t="s">
        <v>15</v>
      </c>
      <c r="E898" t="s">
        <v>96</v>
      </c>
      <c r="F898" t="s">
        <v>47</v>
      </c>
      <c r="G898">
        <v>2</v>
      </c>
      <c r="H898" s="3">
        <v>5.75</v>
      </c>
      <c r="I898" s="3">
        <v>11.5</v>
      </c>
      <c r="J898" t="s">
        <v>18</v>
      </c>
      <c r="K898">
        <v>11</v>
      </c>
      <c r="L898">
        <v>20</v>
      </c>
      <c r="M898" t="s">
        <v>19</v>
      </c>
      <c r="N898">
        <f t="shared" ref="N898:N961" si="28">G898*H898</f>
        <v>11.5</v>
      </c>
      <c r="O898" t="b">
        <f t="shared" ref="O898:O961" si="29">OR(AND(M898="Completed",I898=N898),AND(M898="Refunded",ABS(I898)=N898),AND(M898="Cancelled",I898=0))</f>
        <v>1</v>
      </c>
    </row>
    <row r="899" spans="1:15">
      <c r="A899" t="s">
        <v>1074</v>
      </c>
      <c r="B899" s="2">
        <v>46237</v>
      </c>
      <c r="C899" t="s">
        <v>222</v>
      </c>
      <c r="D899" t="s">
        <v>15</v>
      </c>
      <c r="E899" t="s">
        <v>83</v>
      </c>
      <c r="F899" t="s">
        <v>17</v>
      </c>
      <c r="G899">
        <v>1</v>
      </c>
      <c r="H899" s="3">
        <v>13.5</v>
      </c>
      <c r="I899" s="3">
        <v>13.5</v>
      </c>
      <c r="J899" t="s">
        <v>27</v>
      </c>
      <c r="K899">
        <v>21</v>
      </c>
      <c r="L899">
        <v>9</v>
      </c>
      <c r="M899" t="s">
        <v>19</v>
      </c>
      <c r="N899">
        <f t="shared" si="28"/>
        <v>13.5</v>
      </c>
      <c r="O899" t="b">
        <f t="shared" si="29"/>
        <v>1</v>
      </c>
    </row>
    <row r="900" spans="1:15">
      <c r="A900" t="s">
        <v>1075</v>
      </c>
      <c r="B900" s="2">
        <v>46140</v>
      </c>
      <c r="C900" t="s">
        <v>116</v>
      </c>
      <c r="D900" t="s">
        <v>35</v>
      </c>
      <c r="E900" t="s">
        <v>103</v>
      </c>
      <c r="F900" t="s">
        <v>23</v>
      </c>
      <c r="G900">
        <v>2</v>
      </c>
      <c r="H900" s="3">
        <v>3.25</v>
      </c>
      <c r="I900" s="3">
        <v>6.5</v>
      </c>
      <c r="J900" t="s">
        <v>27</v>
      </c>
      <c r="K900">
        <v>13</v>
      </c>
      <c r="L900">
        <v>15</v>
      </c>
      <c r="M900" t="s">
        <v>19</v>
      </c>
      <c r="N900">
        <f t="shared" si="28"/>
        <v>6.5</v>
      </c>
      <c r="O900" t="b">
        <f t="shared" si="29"/>
        <v>1</v>
      </c>
    </row>
    <row r="901" spans="1:15">
      <c r="A901" t="s">
        <v>1076</v>
      </c>
      <c r="B901" s="2">
        <v>46026</v>
      </c>
      <c r="C901" t="s">
        <v>45</v>
      </c>
      <c r="D901" t="s">
        <v>15</v>
      </c>
      <c r="E901" t="s">
        <v>26</v>
      </c>
      <c r="F901" t="s">
        <v>17</v>
      </c>
      <c r="G901">
        <v>1</v>
      </c>
      <c r="H901" s="3">
        <v>11.5</v>
      </c>
      <c r="I901" s="3">
        <v>11.5</v>
      </c>
      <c r="J901" t="s">
        <v>18</v>
      </c>
      <c r="K901">
        <v>10</v>
      </c>
      <c r="L901">
        <v>10</v>
      </c>
      <c r="M901" t="s">
        <v>19</v>
      </c>
      <c r="N901">
        <f t="shared" si="28"/>
        <v>11.5</v>
      </c>
      <c r="O901" t="b">
        <f t="shared" si="29"/>
        <v>1</v>
      </c>
    </row>
    <row r="902" spans="1:15">
      <c r="A902" t="s">
        <v>1077</v>
      </c>
      <c r="B902" s="2">
        <v>46207</v>
      </c>
      <c r="C902" t="s">
        <v>483</v>
      </c>
      <c r="D902" t="s">
        <v>15</v>
      </c>
      <c r="E902" t="s">
        <v>70</v>
      </c>
      <c r="F902" t="s">
        <v>17</v>
      </c>
      <c r="G902">
        <v>1</v>
      </c>
      <c r="H902" s="3">
        <v>12.5</v>
      </c>
      <c r="I902" s="3">
        <v>12.5</v>
      </c>
      <c r="J902" t="s">
        <v>32</v>
      </c>
      <c r="K902">
        <v>11</v>
      </c>
      <c r="L902">
        <v>23</v>
      </c>
      <c r="M902" t="s">
        <v>19</v>
      </c>
      <c r="N902">
        <f t="shared" si="28"/>
        <v>12.5</v>
      </c>
      <c r="O902" t="b">
        <f t="shared" si="29"/>
        <v>1</v>
      </c>
    </row>
    <row r="903" spans="1:15">
      <c r="A903" t="s">
        <v>1078</v>
      </c>
      <c r="B903" s="2">
        <v>46148</v>
      </c>
      <c r="C903" t="s">
        <v>625</v>
      </c>
      <c r="D903" t="s">
        <v>15</v>
      </c>
      <c r="E903" t="s">
        <v>41</v>
      </c>
      <c r="F903" t="s">
        <v>31</v>
      </c>
      <c r="G903">
        <v>3</v>
      </c>
      <c r="H903" s="3">
        <v>5.5</v>
      </c>
      <c r="I903" s="3">
        <v>16.5</v>
      </c>
      <c r="J903" t="s">
        <v>18</v>
      </c>
      <c r="K903">
        <v>27</v>
      </c>
      <c r="L903">
        <v>9</v>
      </c>
      <c r="M903" t="s">
        <v>19</v>
      </c>
      <c r="N903">
        <f t="shared" si="28"/>
        <v>16.5</v>
      </c>
      <c r="O903" t="b">
        <f t="shared" si="29"/>
        <v>1</v>
      </c>
    </row>
    <row r="904" spans="1:15">
      <c r="A904" t="s">
        <v>1079</v>
      </c>
      <c r="B904" s="2">
        <v>46217</v>
      </c>
      <c r="C904" t="s">
        <v>493</v>
      </c>
      <c r="D904" t="s">
        <v>35</v>
      </c>
      <c r="E904" t="s">
        <v>70</v>
      </c>
      <c r="F904" t="s">
        <v>17</v>
      </c>
      <c r="G904">
        <v>1</v>
      </c>
      <c r="H904" s="3">
        <v>12.5</v>
      </c>
      <c r="I904" s="3">
        <v>12.5</v>
      </c>
      <c r="J904" t="s">
        <v>53</v>
      </c>
      <c r="K904">
        <v>6</v>
      </c>
      <c r="L904">
        <v>16</v>
      </c>
      <c r="M904" t="s">
        <v>19</v>
      </c>
      <c r="N904">
        <f t="shared" si="28"/>
        <v>12.5</v>
      </c>
      <c r="O904" t="b">
        <f t="shared" si="29"/>
        <v>1</v>
      </c>
    </row>
    <row r="905" spans="1:15">
      <c r="A905" t="s">
        <v>1080</v>
      </c>
      <c r="B905" s="2">
        <v>46245</v>
      </c>
      <c r="C905" t="s">
        <v>265</v>
      </c>
      <c r="D905" t="s">
        <v>35</v>
      </c>
      <c r="E905" t="s">
        <v>50</v>
      </c>
      <c r="F905" t="s">
        <v>17</v>
      </c>
      <c r="G905">
        <v>3</v>
      </c>
      <c r="H905" s="3">
        <v>14.5</v>
      </c>
      <c r="I905" s="3">
        <v>43.5</v>
      </c>
      <c r="J905" t="s">
        <v>27</v>
      </c>
      <c r="K905">
        <v>26</v>
      </c>
      <c r="L905">
        <v>24</v>
      </c>
      <c r="M905" t="s">
        <v>19</v>
      </c>
      <c r="N905">
        <f t="shared" si="28"/>
        <v>43.5</v>
      </c>
      <c r="O905" t="b">
        <f t="shared" si="29"/>
        <v>1</v>
      </c>
    </row>
    <row r="906" spans="1:15">
      <c r="A906" t="s">
        <v>1081</v>
      </c>
      <c r="B906" s="2">
        <v>46295</v>
      </c>
      <c r="C906" t="s">
        <v>471</v>
      </c>
      <c r="D906" t="s">
        <v>15</v>
      </c>
      <c r="E906" t="s">
        <v>56</v>
      </c>
      <c r="F906" t="s">
        <v>23</v>
      </c>
      <c r="G906">
        <v>1</v>
      </c>
      <c r="H906" s="3">
        <v>3.75</v>
      </c>
      <c r="I906" s="3">
        <v>3.75</v>
      </c>
      <c r="J906" t="s">
        <v>18</v>
      </c>
      <c r="K906">
        <v>20</v>
      </c>
      <c r="L906">
        <v>9</v>
      </c>
      <c r="M906" t="s">
        <v>19</v>
      </c>
      <c r="N906">
        <f t="shared" si="28"/>
        <v>3.75</v>
      </c>
      <c r="O906" t="b">
        <f t="shared" si="29"/>
        <v>1</v>
      </c>
    </row>
    <row r="907" spans="1:15">
      <c r="A907" t="s">
        <v>1082</v>
      </c>
      <c r="B907" s="2">
        <v>46173</v>
      </c>
      <c r="C907" t="s">
        <v>228</v>
      </c>
      <c r="D907" t="s">
        <v>35</v>
      </c>
      <c r="E907" t="s">
        <v>83</v>
      </c>
      <c r="F907" t="s">
        <v>17</v>
      </c>
      <c r="G907">
        <v>2</v>
      </c>
      <c r="H907" s="3">
        <v>13.5</v>
      </c>
      <c r="I907" s="3">
        <v>27</v>
      </c>
      <c r="J907" t="s">
        <v>27</v>
      </c>
      <c r="K907">
        <v>28</v>
      </c>
      <c r="L907">
        <v>21</v>
      </c>
      <c r="M907" t="s">
        <v>19</v>
      </c>
      <c r="N907">
        <f t="shared" si="28"/>
        <v>27</v>
      </c>
      <c r="O907" t="b">
        <f t="shared" si="29"/>
        <v>1</v>
      </c>
    </row>
    <row r="908" spans="1:15">
      <c r="A908" t="s">
        <v>1083</v>
      </c>
      <c r="B908" s="2">
        <v>46283</v>
      </c>
      <c r="C908" t="s">
        <v>205</v>
      </c>
      <c r="D908" t="s">
        <v>35</v>
      </c>
      <c r="E908" t="s">
        <v>39</v>
      </c>
      <c r="F908" t="s">
        <v>17</v>
      </c>
      <c r="G908">
        <v>2</v>
      </c>
      <c r="H908" s="3">
        <v>12.95</v>
      </c>
      <c r="I908" s="3">
        <v>25.9</v>
      </c>
      <c r="J908" t="s">
        <v>32</v>
      </c>
      <c r="K908">
        <v>13</v>
      </c>
      <c r="L908">
        <v>17</v>
      </c>
      <c r="M908" t="s">
        <v>19</v>
      </c>
      <c r="N908">
        <f t="shared" si="28"/>
        <v>25.9</v>
      </c>
      <c r="O908" t="b">
        <f t="shared" si="29"/>
        <v>1</v>
      </c>
    </row>
    <row r="909" spans="1:15">
      <c r="A909" t="s">
        <v>1084</v>
      </c>
      <c r="B909" s="2">
        <v>46283</v>
      </c>
      <c r="C909" t="s">
        <v>275</v>
      </c>
      <c r="D909" t="s">
        <v>15</v>
      </c>
      <c r="E909" t="s">
        <v>106</v>
      </c>
      <c r="F909" t="s">
        <v>17</v>
      </c>
      <c r="G909">
        <v>1</v>
      </c>
      <c r="H909" s="3">
        <v>15.95</v>
      </c>
      <c r="I909" s="3">
        <v>15.95</v>
      </c>
      <c r="J909" t="s">
        <v>18</v>
      </c>
      <c r="K909">
        <v>17</v>
      </c>
      <c r="L909">
        <v>13</v>
      </c>
      <c r="M909" t="s">
        <v>19</v>
      </c>
      <c r="N909">
        <f t="shared" si="28"/>
        <v>15.95</v>
      </c>
      <c r="O909" t="b">
        <f t="shared" si="29"/>
        <v>1</v>
      </c>
    </row>
    <row r="910" spans="1:15">
      <c r="A910" t="s">
        <v>1085</v>
      </c>
      <c r="B910" s="2">
        <v>46276</v>
      </c>
      <c r="C910" t="s">
        <v>145</v>
      </c>
      <c r="D910" t="s">
        <v>35</v>
      </c>
      <c r="E910" t="s">
        <v>121</v>
      </c>
      <c r="F910" t="s">
        <v>23</v>
      </c>
      <c r="G910">
        <v>2</v>
      </c>
      <c r="H910" s="3">
        <v>6.5</v>
      </c>
      <c r="I910" s="3">
        <v>13</v>
      </c>
      <c r="J910" t="s">
        <v>27</v>
      </c>
      <c r="K910">
        <v>28</v>
      </c>
      <c r="L910">
        <v>13</v>
      </c>
      <c r="M910" t="s">
        <v>19</v>
      </c>
      <c r="N910">
        <f t="shared" si="28"/>
        <v>13</v>
      </c>
      <c r="O910" t="b">
        <f t="shared" si="29"/>
        <v>1</v>
      </c>
    </row>
    <row r="911" spans="1:15">
      <c r="A911" t="s">
        <v>1086</v>
      </c>
      <c r="B911" s="2">
        <v>46134</v>
      </c>
      <c r="C911" t="s">
        <v>307</v>
      </c>
      <c r="D911" t="s">
        <v>15</v>
      </c>
      <c r="E911" t="s">
        <v>106</v>
      </c>
      <c r="F911" t="s">
        <v>17</v>
      </c>
      <c r="G911">
        <v>3</v>
      </c>
      <c r="H911" s="3">
        <v>15.95</v>
      </c>
      <c r="I911" s="3">
        <v>47.85</v>
      </c>
      <c r="J911" t="s">
        <v>18</v>
      </c>
      <c r="K911">
        <v>9</v>
      </c>
      <c r="L911">
        <v>19</v>
      </c>
      <c r="M911" t="s">
        <v>19</v>
      </c>
      <c r="N911">
        <f t="shared" si="28"/>
        <v>47.849999999999994</v>
      </c>
      <c r="O911" t="b">
        <f t="shared" si="29"/>
        <v>1</v>
      </c>
    </row>
    <row r="912" spans="1:15">
      <c r="A912" t="s">
        <v>1087</v>
      </c>
      <c r="B912" s="2">
        <v>46091</v>
      </c>
      <c r="C912" t="s">
        <v>541</v>
      </c>
      <c r="D912" t="s">
        <v>35</v>
      </c>
      <c r="E912" t="s">
        <v>22</v>
      </c>
      <c r="F912" t="s">
        <v>23</v>
      </c>
      <c r="G912">
        <v>1</v>
      </c>
      <c r="H912" s="3">
        <v>3.1</v>
      </c>
      <c r="I912" s="3">
        <v>3.1</v>
      </c>
      <c r="J912" t="s">
        <v>18</v>
      </c>
      <c r="K912">
        <v>11</v>
      </c>
      <c r="L912">
        <v>19</v>
      </c>
      <c r="M912" t="s">
        <v>19</v>
      </c>
      <c r="N912">
        <f t="shared" si="28"/>
        <v>3.1</v>
      </c>
      <c r="O912" t="b">
        <f t="shared" si="29"/>
        <v>1</v>
      </c>
    </row>
    <row r="913" spans="1:15">
      <c r="A913" t="s">
        <v>1088</v>
      </c>
      <c r="B913" s="2">
        <v>46262</v>
      </c>
      <c r="C913" t="s">
        <v>541</v>
      </c>
      <c r="D913" t="s">
        <v>35</v>
      </c>
      <c r="E913" t="s">
        <v>93</v>
      </c>
      <c r="F913" t="s">
        <v>31</v>
      </c>
      <c r="G913">
        <v>1</v>
      </c>
      <c r="H913" s="3">
        <v>6.25</v>
      </c>
      <c r="I913" s="3">
        <v>6.25</v>
      </c>
      <c r="J913" t="s">
        <v>18</v>
      </c>
      <c r="K913">
        <v>6</v>
      </c>
      <c r="L913">
        <v>21</v>
      </c>
      <c r="M913" t="s">
        <v>19</v>
      </c>
      <c r="N913">
        <f t="shared" si="28"/>
        <v>6.25</v>
      </c>
      <c r="O913" t="b">
        <f t="shared" si="29"/>
        <v>1</v>
      </c>
    </row>
    <row r="914" spans="1:15">
      <c r="A914" t="s">
        <v>1089</v>
      </c>
      <c r="B914" s="2">
        <v>46158</v>
      </c>
      <c r="C914" t="s">
        <v>387</v>
      </c>
      <c r="D914" t="s">
        <v>35</v>
      </c>
      <c r="E914" t="s">
        <v>126</v>
      </c>
      <c r="F914" t="s">
        <v>31</v>
      </c>
      <c r="G914">
        <v>2</v>
      </c>
      <c r="H914" s="3">
        <v>7.95</v>
      </c>
      <c r="I914" s="3">
        <v>15.9</v>
      </c>
      <c r="J914" t="s">
        <v>53</v>
      </c>
      <c r="K914">
        <v>9</v>
      </c>
      <c r="L914">
        <v>17</v>
      </c>
      <c r="M914" t="s">
        <v>19</v>
      </c>
      <c r="N914">
        <f t="shared" si="28"/>
        <v>15.9</v>
      </c>
      <c r="O914" t="b">
        <f t="shared" si="29"/>
        <v>1</v>
      </c>
    </row>
    <row r="915" spans="1:15">
      <c r="A915" t="s">
        <v>1090</v>
      </c>
      <c r="B915" s="2">
        <v>46073</v>
      </c>
      <c r="C915" t="s">
        <v>248</v>
      </c>
      <c r="D915" t="s">
        <v>15</v>
      </c>
      <c r="E915" t="s">
        <v>36</v>
      </c>
      <c r="F915" t="s">
        <v>23</v>
      </c>
      <c r="G915">
        <v>1</v>
      </c>
      <c r="H915" s="3">
        <v>2.8</v>
      </c>
      <c r="I915" s="3">
        <v>2.8</v>
      </c>
      <c r="J915" t="s">
        <v>27</v>
      </c>
      <c r="K915">
        <v>22</v>
      </c>
      <c r="L915">
        <v>8</v>
      </c>
      <c r="M915" t="s">
        <v>19</v>
      </c>
      <c r="N915">
        <f t="shared" si="28"/>
        <v>2.8</v>
      </c>
      <c r="O915" t="b">
        <f t="shared" si="29"/>
        <v>1</v>
      </c>
    </row>
    <row r="916" spans="1:15">
      <c r="A916" t="s">
        <v>1091</v>
      </c>
      <c r="B916" s="2">
        <v>46177</v>
      </c>
      <c r="C916" t="s">
        <v>105</v>
      </c>
      <c r="D916" t="s">
        <v>35</v>
      </c>
      <c r="E916" t="s">
        <v>70</v>
      </c>
      <c r="F916" t="s">
        <v>17</v>
      </c>
      <c r="G916">
        <v>2</v>
      </c>
      <c r="H916" s="3">
        <v>12.5</v>
      </c>
      <c r="I916" s="3">
        <v>25</v>
      </c>
      <c r="J916" t="s">
        <v>18</v>
      </c>
      <c r="K916">
        <v>24</v>
      </c>
      <c r="L916">
        <v>30</v>
      </c>
      <c r="M916" t="s">
        <v>19</v>
      </c>
      <c r="N916">
        <f t="shared" si="28"/>
        <v>25</v>
      </c>
      <c r="O916" t="b">
        <f t="shared" si="29"/>
        <v>1</v>
      </c>
    </row>
    <row r="917" spans="1:15">
      <c r="A917" t="s">
        <v>1092</v>
      </c>
      <c r="B917" s="2">
        <v>46156</v>
      </c>
      <c r="C917" t="s">
        <v>465</v>
      </c>
      <c r="D917" t="s">
        <v>15</v>
      </c>
      <c r="E917" t="s">
        <v>30</v>
      </c>
      <c r="F917" t="s">
        <v>31</v>
      </c>
      <c r="G917">
        <v>2</v>
      </c>
      <c r="H917" s="3">
        <v>8.5</v>
      </c>
      <c r="I917" s="3">
        <v>17</v>
      </c>
      <c r="J917" t="s">
        <v>32</v>
      </c>
      <c r="K917">
        <v>13</v>
      </c>
      <c r="L917">
        <v>15</v>
      </c>
      <c r="M917" t="s">
        <v>19</v>
      </c>
      <c r="N917">
        <f t="shared" si="28"/>
        <v>17</v>
      </c>
      <c r="O917" t="b">
        <f t="shared" si="29"/>
        <v>1</v>
      </c>
    </row>
    <row r="918" spans="1:15">
      <c r="A918" t="s">
        <v>1093</v>
      </c>
      <c r="B918" s="2">
        <v>46029</v>
      </c>
      <c r="C918" t="s">
        <v>89</v>
      </c>
      <c r="D918" t="s">
        <v>35</v>
      </c>
      <c r="E918" t="s">
        <v>46</v>
      </c>
      <c r="F918" t="s">
        <v>47</v>
      </c>
      <c r="G918">
        <v>1</v>
      </c>
      <c r="H918" s="3">
        <v>6.95</v>
      </c>
      <c r="I918" s="3">
        <v>6.95</v>
      </c>
      <c r="J918" t="s">
        <v>18</v>
      </c>
      <c r="K918">
        <v>17</v>
      </c>
      <c r="L918">
        <v>19</v>
      </c>
      <c r="M918" t="s">
        <v>19</v>
      </c>
      <c r="N918">
        <f t="shared" si="28"/>
        <v>6.95</v>
      </c>
      <c r="O918" t="b">
        <f t="shared" si="29"/>
        <v>1</v>
      </c>
    </row>
    <row r="919" spans="1:15">
      <c r="A919" t="s">
        <v>1094</v>
      </c>
      <c r="B919" s="2">
        <v>46262</v>
      </c>
      <c r="C919" t="s">
        <v>180</v>
      </c>
      <c r="D919" t="s">
        <v>35</v>
      </c>
      <c r="E919" t="s">
        <v>39</v>
      </c>
      <c r="F919" t="s">
        <v>17</v>
      </c>
      <c r="G919">
        <v>1</v>
      </c>
      <c r="H919" s="3">
        <v>12.95</v>
      </c>
      <c r="I919" s="3">
        <v>12.95</v>
      </c>
      <c r="J919" t="s">
        <v>32</v>
      </c>
      <c r="K919">
        <v>14</v>
      </c>
      <c r="L919">
        <v>13</v>
      </c>
      <c r="M919" t="s">
        <v>19</v>
      </c>
      <c r="N919">
        <f t="shared" si="28"/>
        <v>12.95</v>
      </c>
      <c r="O919" t="b">
        <f t="shared" si="29"/>
        <v>1</v>
      </c>
    </row>
    <row r="920" spans="1:15">
      <c r="A920" t="s">
        <v>1095</v>
      </c>
      <c r="B920" s="2">
        <v>46236</v>
      </c>
      <c r="C920" t="s">
        <v>284</v>
      </c>
      <c r="D920" t="s">
        <v>15</v>
      </c>
      <c r="E920" t="s">
        <v>26</v>
      </c>
      <c r="F920" t="s">
        <v>17</v>
      </c>
      <c r="G920">
        <v>1</v>
      </c>
      <c r="H920" s="3">
        <v>11.5</v>
      </c>
      <c r="I920" s="3">
        <v>11.5</v>
      </c>
      <c r="J920" t="s">
        <v>27</v>
      </c>
      <c r="K920">
        <v>24</v>
      </c>
      <c r="L920">
        <v>19</v>
      </c>
      <c r="M920" t="s">
        <v>19</v>
      </c>
      <c r="N920">
        <f t="shared" si="28"/>
        <v>11.5</v>
      </c>
      <c r="O920" t="b">
        <f t="shared" si="29"/>
        <v>1</v>
      </c>
    </row>
    <row r="921" spans="1:15">
      <c r="A921" t="s">
        <v>1096</v>
      </c>
      <c r="B921" s="2">
        <v>46204</v>
      </c>
      <c r="C921" t="s">
        <v>398</v>
      </c>
      <c r="D921" t="s">
        <v>15</v>
      </c>
      <c r="E921" t="s">
        <v>46</v>
      </c>
      <c r="F921" t="s">
        <v>47</v>
      </c>
      <c r="G921">
        <v>2</v>
      </c>
      <c r="H921" s="3">
        <v>6.95</v>
      </c>
      <c r="I921" s="3">
        <v>13.9</v>
      </c>
      <c r="J921" t="s">
        <v>27</v>
      </c>
      <c r="K921">
        <v>18</v>
      </c>
      <c r="L921">
        <v>12</v>
      </c>
      <c r="M921" t="s">
        <v>19</v>
      </c>
      <c r="N921">
        <f t="shared" si="28"/>
        <v>13.9</v>
      </c>
      <c r="O921" t="b">
        <f t="shared" si="29"/>
        <v>1</v>
      </c>
    </row>
    <row r="922" spans="1:15">
      <c r="A922" t="s">
        <v>1097</v>
      </c>
      <c r="B922" s="2">
        <v>46034</v>
      </c>
      <c r="C922" t="s">
        <v>142</v>
      </c>
      <c r="D922" t="s">
        <v>35</v>
      </c>
      <c r="E922" t="s">
        <v>50</v>
      </c>
      <c r="F922" t="s">
        <v>17</v>
      </c>
      <c r="G922">
        <v>4</v>
      </c>
      <c r="H922" s="3">
        <v>14.5</v>
      </c>
      <c r="I922" s="3">
        <v>58</v>
      </c>
      <c r="J922" t="s">
        <v>18</v>
      </c>
      <c r="K922">
        <v>30</v>
      </c>
      <c r="L922">
        <v>10</v>
      </c>
      <c r="M922" t="s">
        <v>19</v>
      </c>
      <c r="N922">
        <f t="shared" si="28"/>
        <v>58</v>
      </c>
      <c r="O922" t="b">
        <f t="shared" si="29"/>
        <v>1</v>
      </c>
    </row>
    <row r="923" spans="1:15">
      <c r="A923" t="s">
        <v>1098</v>
      </c>
      <c r="B923" s="2">
        <v>46223</v>
      </c>
      <c r="C923" t="s">
        <v>91</v>
      </c>
      <c r="D923" t="s">
        <v>35</v>
      </c>
      <c r="E923" t="s">
        <v>39</v>
      </c>
      <c r="F923" t="s">
        <v>17</v>
      </c>
      <c r="G923">
        <v>1</v>
      </c>
      <c r="H923" s="3">
        <v>12.95</v>
      </c>
      <c r="I923" s="3">
        <v>12.95</v>
      </c>
      <c r="J923" t="s">
        <v>27</v>
      </c>
      <c r="K923">
        <v>16</v>
      </c>
      <c r="L923">
        <v>15</v>
      </c>
      <c r="M923" t="s">
        <v>19</v>
      </c>
      <c r="N923">
        <f t="shared" si="28"/>
        <v>12.95</v>
      </c>
      <c r="O923" t="b">
        <f t="shared" si="29"/>
        <v>1</v>
      </c>
    </row>
    <row r="924" spans="1:15">
      <c r="A924" t="s">
        <v>1099</v>
      </c>
      <c r="B924" s="2">
        <v>46254</v>
      </c>
      <c r="C924" t="s">
        <v>387</v>
      </c>
      <c r="D924" t="s">
        <v>35</v>
      </c>
      <c r="E924" t="s">
        <v>106</v>
      </c>
      <c r="F924" t="s">
        <v>17</v>
      </c>
      <c r="G924">
        <v>1</v>
      </c>
      <c r="H924" s="3">
        <v>15.95</v>
      </c>
      <c r="I924" s="3">
        <v>15.95</v>
      </c>
      <c r="J924" t="s">
        <v>18</v>
      </c>
      <c r="K924">
        <v>20</v>
      </c>
      <c r="L924">
        <v>24</v>
      </c>
      <c r="M924" t="s">
        <v>19</v>
      </c>
      <c r="N924">
        <f t="shared" si="28"/>
        <v>15.95</v>
      </c>
      <c r="O924" t="b">
        <f t="shared" si="29"/>
        <v>1</v>
      </c>
    </row>
    <row r="925" spans="1:15">
      <c r="A925" t="s">
        <v>1100</v>
      </c>
      <c r="B925" s="2">
        <v>46118</v>
      </c>
      <c r="C925" t="s">
        <v>43</v>
      </c>
      <c r="D925" t="s">
        <v>15</v>
      </c>
      <c r="E925" t="s">
        <v>70</v>
      </c>
      <c r="F925" t="s">
        <v>17</v>
      </c>
      <c r="G925">
        <v>1</v>
      </c>
      <c r="H925" s="3">
        <v>12.5</v>
      </c>
      <c r="I925" s="3">
        <v>12.5</v>
      </c>
      <c r="J925" t="s">
        <v>27</v>
      </c>
      <c r="K925">
        <v>17</v>
      </c>
      <c r="L925">
        <v>26</v>
      </c>
      <c r="M925" t="s">
        <v>19</v>
      </c>
      <c r="N925">
        <f t="shared" si="28"/>
        <v>12.5</v>
      </c>
      <c r="O925" t="b">
        <f t="shared" si="29"/>
        <v>1</v>
      </c>
    </row>
    <row r="926" spans="1:15">
      <c r="A926" t="s">
        <v>1101</v>
      </c>
      <c r="B926" s="2">
        <v>46052</v>
      </c>
      <c r="C926" t="s">
        <v>625</v>
      </c>
      <c r="D926" t="s">
        <v>15</v>
      </c>
      <c r="E926" t="s">
        <v>93</v>
      </c>
      <c r="F926" t="s">
        <v>31</v>
      </c>
      <c r="G926">
        <v>2</v>
      </c>
      <c r="H926" s="3">
        <v>6.25</v>
      </c>
      <c r="I926" s="3">
        <v>12.5</v>
      </c>
      <c r="J926" t="s">
        <v>18</v>
      </c>
      <c r="K926">
        <v>5</v>
      </c>
      <c r="L926">
        <v>5</v>
      </c>
      <c r="M926" t="s">
        <v>19</v>
      </c>
      <c r="N926">
        <f t="shared" si="28"/>
        <v>12.5</v>
      </c>
      <c r="O926" t="b">
        <f t="shared" si="29"/>
        <v>1</v>
      </c>
    </row>
    <row r="927" spans="1:15">
      <c r="A927" t="s">
        <v>1102</v>
      </c>
      <c r="B927" s="2">
        <v>46267</v>
      </c>
      <c r="C927" t="s">
        <v>205</v>
      </c>
      <c r="D927" t="s">
        <v>35</v>
      </c>
      <c r="E927" t="s">
        <v>50</v>
      </c>
      <c r="F927" t="s">
        <v>17</v>
      </c>
      <c r="G927">
        <v>2</v>
      </c>
      <c r="H927" s="3">
        <v>14.5</v>
      </c>
      <c r="I927" s="3">
        <v>29</v>
      </c>
      <c r="J927" t="s">
        <v>32</v>
      </c>
      <c r="K927">
        <v>14</v>
      </c>
      <c r="L927">
        <v>31</v>
      </c>
      <c r="M927" t="s">
        <v>19</v>
      </c>
      <c r="N927">
        <f t="shared" si="28"/>
        <v>29</v>
      </c>
      <c r="O927" t="b">
        <f t="shared" si="29"/>
        <v>1</v>
      </c>
    </row>
    <row r="928" spans="1:15">
      <c r="A928" t="s">
        <v>1103</v>
      </c>
      <c r="B928" s="2">
        <v>46266</v>
      </c>
      <c r="C928" t="s">
        <v>25</v>
      </c>
      <c r="D928" t="s">
        <v>15</v>
      </c>
      <c r="E928" t="s">
        <v>121</v>
      </c>
      <c r="F928" t="s">
        <v>23</v>
      </c>
      <c r="G928">
        <v>1</v>
      </c>
      <c r="H928" s="3">
        <v>6.5</v>
      </c>
      <c r="I928" s="3">
        <v>6.5</v>
      </c>
      <c r="J928" t="s">
        <v>53</v>
      </c>
      <c r="K928">
        <v>1</v>
      </c>
      <c r="L928">
        <v>7</v>
      </c>
      <c r="M928" t="s">
        <v>19</v>
      </c>
      <c r="N928">
        <f t="shared" si="28"/>
        <v>6.5</v>
      </c>
      <c r="O928" t="b">
        <f t="shared" si="29"/>
        <v>1</v>
      </c>
    </row>
    <row r="929" spans="1:15">
      <c r="A929" t="s">
        <v>1104</v>
      </c>
      <c r="B929" s="2">
        <v>46251</v>
      </c>
      <c r="C929" t="s">
        <v>307</v>
      </c>
      <c r="D929" t="s">
        <v>15</v>
      </c>
      <c r="E929" t="s">
        <v>16</v>
      </c>
      <c r="F929" t="s">
        <v>17</v>
      </c>
      <c r="G929">
        <v>1</v>
      </c>
      <c r="H929" s="3">
        <v>9.9499999999999993</v>
      </c>
      <c r="I929" s="3">
        <v>9.9499999999999993</v>
      </c>
      <c r="J929" t="s">
        <v>18</v>
      </c>
      <c r="K929">
        <v>29</v>
      </c>
      <c r="L929">
        <v>11</v>
      </c>
      <c r="M929" t="s">
        <v>19</v>
      </c>
      <c r="N929">
        <f t="shared" si="28"/>
        <v>9.9499999999999993</v>
      </c>
      <c r="O929" t="b">
        <f t="shared" si="29"/>
        <v>1</v>
      </c>
    </row>
    <row r="930" spans="1:15">
      <c r="A930" t="s">
        <v>1105</v>
      </c>
      <c r="B930" s="2">
        <v>46259</v>
      </c>
      <c r="C930" t="s">
        <v>279</v>
      </c>
      <c r="D930" t="s">
        <v>35</v>
      </c>
      <c r="E930" t="s">
        <v>126</v>
      </c>
      <c r="F930" t="s">
        <v>31</v>
      </c>
      <c r="G930">
        <v>2</v>
      </c>
      <c r="H930" s="3">
        <v>7.95</v>
      </c>
      <c r="I930" s="3">
        <v>15.9</v>
      </c>
      <c r="J930" t="s">
        <v>27</v>
      </c>
      <c r="K930">
        <v>26</v>
      </c>
      <c r="L930">
        <v>13</v>
      </c>
      <c r="M930" t="s">
        <v>19</v>
      </c>
      <c r="N930">
        <f t="shared" si="28"/>
        <v>15.9</v>
      </c>
      <c r="O930" t="b">
        <f t="shared" si="29"/>
        <v>1</v>
      </c>
    </row>
    <row r="931" spans="1:15">
      <c r="A931" t="s">
        <v>1106</v>
      </c>
      <c r="B931" s="2">
        <v>46112</v>
      </c>
      <c r="C931" t="s">
        <v>210</v>
      </c>
      <c r="D931" t="s">
        <v>35</v>
      </c>
      <c r="E931" t="s">
        <v>78</v>
      </c>
      <c r="F931" t="s">
        <v>47</v>
      </c>
      <c r="G931">
        <v>1</v>
      </c>
      <c r="H931" s="3">
        <v>7.25</v>
      </c>
      <c r="I931" s="3">
        <v>7.25</v>
      </c>
      <c r="J931" t="s">
        <v>18</v>
      </c>
      <c r="K931">
        <v>6</v>
      </c>
      <c r="L931">
        <v>29</v>
      </c>
      <c r="M931" t="s">
        <v>19</v>
      </c>
      <c r="N931">
        <f t="shared" si="28"/>
        <v>7.25</v>
      </c>
      <c r="O931" t="b">
        <f t="shared" si="29"/>
        <v>1</v>
      </c>
    </row>
    <row r="932" spans="1:15">
      <c r="A932" t="s">
        <v>1107</v>
      </c>
      <c r="B932" s="2">
        <v>46071</v>
      </c>
      <c r="C932" t="s">
        <v>73</v>
      </c>
      <c r="D932" t="s">
        <v>35</v>
      </c>
      <c r="E932" t="s">
        <v>106</v>
      </c>
      <c r="F932" t="s">
        <v>17</v>
      </c>
      <c r="G932">
        <v>1</v>
      </c>
      <c r="H932" s="3">
        <v>15.95</v>
      </c>
      <c r="I932" s="3">
        <v>15.95</v>
      </c>
      <c r="J932" t="s">
        <v>18</v>
      </c>
      <c r="K932">
        <v>3</v>
      </c>
      <c r="L932">
        <v>11</v>
      </c>
      <c r="M932" t="s">
        <v>19</v>
      </c>
      <c r="N932">
        <f t="shared" si="28"/>
        <v>15.95</v>
      </c>
      <c r="O932" t="b">
        <f t="shared" si="29"/>
        <v>1</v>
      </c>
    </row>
    <row r="933" spans="1:15">
      <c r="A933" t="s">
        <v>1108</v>
      </c>
      <c r="B933" s="2">
        <v>46134</v>
      </c>
      <c r="C933" t="s">
        <v>208</v>
      </c>
      <c r="D933" t="s">
        <v>35</v>
      </c>
      <c r="E933" t="s">
        <v>59</v>
      </c>
      <c r="F933" t="s">
        <v>17</v>
      </c>
      <c r="G933">
        <v>4</v>
      </c>
      <c r="H933" s="3">
        <v>11.95</v>
      </c>
      <c r="I933" s="3">
        <v>47.8</v>
      </c>
      <c r="J933" t="s">
        <v>27</v>
      </c>
      <c r="K933">
        <v>25</v>
      </c>
      <c r="L933">
        <v>17</v>
      </c>
      <c r="M933" t="s">
        <v>19</v>
      </c>
      <c r="N933">
        <f t="shared" si="28"/>
        <v>47.8</v>
      </c>
      <c r="O933" t="b">
        <f t="shared" si="29"/>
        <v>1</v>
      </c>
    </row>
    <row r="934" spans="1:15">
      <c r="A934" t="s">
        <v>1109</v>
      </c>
      <c r="B934" s="2">
        <v>46189</v>
      </c>
      <c r="C934" t="s">
        <v>158</v>
      </c>
      <c r="D934" t="s">
        <v>35</v>
      </c>
      <c r="E934" t="s">
        <v>70</v>
      </c>
      <c r="F934" t="s">
        <v>17</v>
      </c>
      <c r="G934">
        <v>1</v>
      </c>
      <c r="H934" s="3">
        <v>12.5</v>
      </c>
      <c r="I934" s="3">
        <v>12.5</v>
      </c>
      <c r="J934" t="s">
        <v>18</v>
      </c>
      <c r="K934">
        <v>22</v>
      </c>
      <c r="L934">
        <v>28</v>
      </c>
      <c r="M934" t="s">
        <v>19</v>
      </c>
      <c r="N934">
        <f t="shared" si="28"/>
        <v>12.5</v>
      </c>
      <c r="O934" t="b">
        <f t="shared" si="29"/>
        <v>1</v>
      </c>
    </row>
    <row r="935" spans="1:15">
      <c r="A935" t="s">
        <v>1110</v>
      </c>
      <c r="B935" s="2">
        <v>46218</v>
      </c>
      <c r="C935" t="s">
        <v>165</v>
      </c>
      <c r="D935" t="s">
        <v>15</v>
      </c>
      <c r="E935" t="s">
        <v>46</v>
      </c>
      <c r="F935" t="s">
        <v>47</v>
      </c>
      <c r="G935">
        <v>1</v>
      </c>
      <c r="H935" s="3">
        <v>6.95</v>
      </c>
      <c r="I935" s="3">
        <v>6.95</v>
      </c>
      <c r="J935" t="s">
        <v>18</v>
      </c>
      <c r="K935">
        <v>4</v>
      </c>
      <c r="L935">
        <v>17</v>
      </c>
      <c r="M935" t="s">
        <v>19</v>
      </c>
      <c r="N935">
        <f t="shared" si="28"/>
        <v>6.95</v>
      </c>
      <c r="O935" t="b">
        <f t="shared" si="29"/>
        <v>1</v>
      </c>
    </row>
    <row r="936" spans="1:15">
      <c r="A936" t="s">
        <v>1111</v>
      </c>
      <c r="B936" s="2">
        <v>46092</v>
      </c>
      <c r="C936" t="s">
        <v>385</v>
      </c>
      <c r="D936" t="s">
        <v>15</v>
      </c>
      <c r="E936" t="s">
        <v>96</v>
      </c>
      <c r="F936" t="s">
        <v>47</v>
      </c>
      <c r="G936">
        <v>1</v>
      </c>
      <c r="H936" s="3">
        <v>5.75</v>
      </c>
      <c r="I936" s="3">
        <v>5.75</v>
      </c>
      <c r="J936" t="s">
        <v>27</v>
      </c>
      <c r="K936">
        <v>15</v>
      </c>
      <c r="L936">
        <v>10</v>
      </c>
      <c r="M936" t="s">
        <v>19</v>
      </c>
      <c r="N936">
        <f t="shared" si="28"/>
        <v>5.75</v>
      </c>
      <c r="O936" t="b">
        <f t="shared" si="29"/>
        <v>1</v>
      </c>
    </row>
    <row r="937" spans="1:15">
      <c r="A937" t="s">
        <v>1112</v>
      </c>
      <c r="B937" s="2">
        <v>46165</v>
      </c>
      <c r="C937" t="s">
        <v>286</v>
      </c>
      <c r="D937" t="s">
        <v>35</v>
      </c>
      <c r="E937" t="s">
        <v>56</v>
      </c>
      <c r="F937" t="s">
        <v>23</v>
      </c>
      <c r="G937">
        <v>1</v>
      </c>
      <c r="H937" s="3">
        <v>3.75</v>
      </c>
      <c r="I937" s="3">
        <v>3.75</v>
      </c>
      <c r="J937" t="s">
        <v>18</v>
      </c>
      <c r="K937">
        <v>4</v>
      </c>
      <c r="L937">
        <v>5</v>
      </c>
      <c r="M937" t="s">
        <v>19</v>
      </c>
      <c r="N937">
        <f t="shared" si="28"/>
        <v>3.75</v>
      </c>
      <c r="O937" t="b">
        <f t="shared" si="29"/>
        <v>1</v>
      </c>
    </row>
    <row r="938" spans="1:15">
      <c r="A938" t="s">
        <v>1113</v>
      </c>
      <c r="B938" s="2">
        <v>46223</v>
      </c>
      <c r="C938" t="s">
        <v>154</v>
      </c>
      <c r="D938" t="s">
        <v>15</v>
      </c>
      <c r="E938" t="s">
        <v>41</v>
      </c>
      <c r="F938" t="s">
        <v>31</v>
      </c>
      <c r="G938">
        <v>1</v>
      </c>
      <c r="H938" s="3">
        <v>5.5</v>
      </c>
      <c r="I938" s="3">
        <v>5.5</v>
      </c>
      <c r="J938" t="s">
        <v>18</v>
      </c>
      <c r="K938">
        <v>29</v>
      </c>
      <c r="L938">
        <v>20</v>
      </c>
      <c r="M938" t="s">
        <v>19</v>
      </c>
      <c r="N938">
        <f t="shared" si="28"/>
        <v>5.5</v>
      </c>
      <c r="O938" t="b">
        <f t="shared" si="29"/>
        <v>1</v>
      </c>
    </row>
    <row r="939" spans="1:15">
      <c r="A939" t="s">
        <v>1114</v>
      </c>
      <c r="B939" s="2">
        <v>46133</v>
      </c>
      <c r="C939" t="s">
        <v>199</v>
      </c>
      <c r="D939" t="s">
        <v>35</v>
      </c>
      <c r="E939" t="s">
        <v>22</v>
      </c>
      <c r="F939" t="s">
        <v>23</v>
      </c>
      <c r="G939">
        <v>2</v>
      </c>
      <c r="H939" s="3">
        <v>3.1</v>
      </c>
      <c r="I939" s="3">
        <v>6.2</v>
      </c>
      <c r="J939" t="s">
        <v>53</v>
      </c>
      <c r="K939">
        <v>22</v>
      </c>
      <c r="L939">
        <v>21</v>
      </c>
      <c r="M939" t="s">
        <v>19</v>
      </c>
      <c r="N939">
        <f t="shared" si="28"/>
        <v>6.2</v>
      </c>
      <c r="O939" t="b">
        <f t="shared" si="29"/>
        <v>1</v>
      </c>
    </row>
    <row r="940" spans="1:15">
      <c r="A940" t="s">
        <v>1115</v>
      </c>
      <c r="B940" s="2">
        <v>46222</v>
      </c>
      <c r="C940" t="s">
        <v>66</v>
      </c>
      <c r="D940" t="s">
        <v>35</v>
      </c>
      <c r="E940" t="s">
        <v>56</v>
      </c>
      <c r="F940" t="s">
        <v>23</v>
      </c>
      <c r="G940">
        <v>1</v>
      </c>
      <c r="H940" s="3">
        <v>3.75</v>
      </c>
      <c r="I940" s="3">
        <v>-3.75</v>
      </c>
      <c r="J940" t="s">
        <v>18</v>
      </c>
      <c r="K940">
        <v>8</v>
      </c>
      <c r="L940">
        <v>10</v>
      </c>
      <c r="M940" t="s">
        <v>62</v>
      </c>
      <c r="N940">
        <f t="shared" si="28"/>
        <v>3.75</v>
      </c>
      <c r="O940" t="b">
        <f t="shared" si="29"/>
        <v>1</v>
      </c>
    </row>
    <row r="941" spans="1:15">
      <c r="A941" t="s">
        <v>1116</v>
      </c>
      <c r="B941" s="2">
        <v>46145</v>
      </c>
      <c r="C941" t="s">
        <v>352</v>
      </c>
      <c r="D941" t="s">
        <v>15</v>
      </c>
      <c r="E941" t="s">
        <v>26</v>
      </c>
      <c r="F941" t="s">
        <v>17</v>
      </c>
      <c r="G941">
        <v>4</v>
      </c>
      <c r="H941" s="3">
        <v>11.5</v>
      </c>
      <c r="I941" s="3">
        <v>46</v>
      </c>
      <c r="J941" t="s">
        <v>27</v>
      </c>
      <c r="K941">
        <v>27</v>
      </c>
      <c r="L941">
        <v>18</v>
      </c>
      <c r="M941" t="s">
        <v>19</v>
      </c>
      <c r="N941">
        <f t="shared" si="28"/>
        <v>46</v>
      </c>
      <c r="O941" t="b">
        <f t="shared" si="29"/>
        <v>1</v>
      </c>
    </row>
    <row r="942" spans="1:15">
      <c r="A942" t="s">
        <v>1117</v>
      </c>
      <c r="B942" s="2">
        <v>46055</v>
      </c>
      <c r="C942" t="s">
        <v>154</v>
      </c>
      <c r="D942" t="s">
        <v>15</v>
      </c>
      <c r="E942" t="s">
        <v>106</v>
      </c>
      <c r="F942" t="s">
        <v>17</v>
      </c>
      <c r="G942">
        <v>2</v>
      </c>
      <c r="H942" s="3">
        <v>15.95</v>
      </c>
      <c r="I942" s="3">
        <v>31.9</v>
      </c>
      <c r="J942" t="s">
        <v>27</v>
      </c>
      <c r="K942">
        <v>11</v>
      </c>
      <c r="L942">
        <v>13</v>
      </c>
      <c r="M942" t="s">
        <v>19</v>
      </c>
      <c r="N942">
        <f t="shared" si="28"/>
        <v>31.9</v>
      </c>
      <c r="O942" t="b">
        <f t="shared" si="29"/>
        <v>1</v>
      </c>
    </row>
    <row r="943" spans="1:15">
      <c r="A943" t="s">
        <v>1118</v>
      </c>
      <c r="B943" s="2">
        <v>46120</v>
      </c>
      <c r="C943" t="s">
        <v>145</v>
      </c>
      <c r="D943" t="s">
        <v>35</v>
      </c>
      <c r="E943" t="s">
        <v>78</v>
      </c>
      <c r="F943" t="s">
        <v>47</v>
      </c>
      <c r="G943">
        <v>1</v>
      </c>
      <c r="H943" s="3">
        <v>7.25</v>
      </c>
      <c r="I943" s="3">
        <v>7.25</v>
      </c>
      <c r="J943" t="s">
        <v>18</v>
      </c>
      <c r="K943">
        <v>4</v>
      </c>
      <c r="L943">
        <v>21</v>
      </c>
      <c r="M943" t="s">
        <v>19</v>
      </c>
      <c r="N943">
        <f t="shared" si="28"/>
        <v>7.25</v>
      </c>
      <c r="O943" t="b">
        <f t="shared" si="29"/>
        <v>1</v>
      </c>
    </row>
    <row r="944" spans="1:15">
      <c r="A944" t="s">
        <v>1119</v>
      </c>
      <c r="B944" s="2">
        <v>46111</v>
      </c>
      <c r="C944" t="s">
        <v>248</v>
      </c>
      <c r="D944" t="s">
        <v>15</v>
      </c>
      <c r="E944" t="s">
        <v>46</v>
      </c>
      <c r="F944" t="s">
        <v>47</v>
      </c>
      <c r="G944">
        <v>1</v>
      </c>
      <c r="H944" s="3">
        <v>6.95</v>
      </c>
      <c r="I944" s="3">
        <v>6.95</v>
      </c>
      <c r="J944" t="s">
        <v>18</v>
      </c>
      <c r="K944">
        <v>21</v>
      </c>
      <c r="L944">
        <v>26</v>
      </c>
      <c r="M944" t="s">
        <v>19</v>
      </c>
      <c r="N944">
        <f t="shared" si="28"/>
        <v>6.95</v>
      </c>
      <c r="O944" t="b">
        <f t="shared" si="29"/>
        <v>1</v>
      </c>
    </row>
    <row r="945" spans="1:15">
      <c r="A945" t="s">
        <v>1120</v>
      </c>
      <c r="B945" s="2">
        <v>46045</v>
      </c>
      <c r="C945" t="s">
        <v>429</v>
      </c>
      <c r="D945" t="s">
        <v>15</v>
      </c>
      <c r="E945" t="s">
        <v>126</v>
      </c>
      <c r="F945" t="s">
        <v>31</v>
      </c>
      <c r="G945">
        <v>2</v>
      </c>
      <c r="H945" s="3">
        <v>7.95</v>
      </c>
      <c r="I945" s="3">
        <v>15.9</v>
      </c>
      <c r="J945" t="s">
        <v>18</v>
      </c>
      <c r="K945">
        <v>4</v>
      </c>
      <c r="L945">
        <v>20</v>
      </c>
      <c r="M945" t="s">
        <v>19</v>
      </c>
      <c r="N945">
        <f t="shared" si="28"/>
        <v>15.9</v>
      </c>
      <c r="O945" t="b">
        <f t="shared" si="29"/>
        <v>1</v>
      </c>
    </row>
    <row r="946" spans="1:15">
      <c r="A946" t="s">
        <v>1121</v>
      </c>
      <c r="B946" s="2">
        <v>46110</v>
      </c>
      <c r="C946" t="s">
        <v>391</v>
      </c>
      <c r="D946" t="s">
        <v>15</v>
      </c>
      <c r="E946" t="s">
        <v>93</v>
      </c>
      <c r="F946" t="s">
        <v>31</v>
      </c>
      <c r="G946">
        <v>4</v>
      </c>
      <c r="H946" s="3">
        <v>6.25</v>
      </c>
      <c r="I946" s="3">
        <v>25</v>
      </c>
      <c r="J946" t="s">
        <v>18</v>
      </c>
      <c r="K946">
        <v>25</v>
      </c>
      <c r="L946">
        <v>5</v>
      </c>
      <c r="M946" t="s">
        <v>19</v>
      </c>
      <c r="N946">
        <f t="shared" si="28"/>
        <v>25</v>
      </c>
      <c r="O946" t="b">
        <f t="shared" si="29"/>
        <v>1</v>
      </c>
    </row>
    <row r="947" spans="1:15">
      <c r="A947" t="s">
        <v>1122</v>
      </c>
      <c r="B947" s="2">
        <v>46193</v>
      </c>
      <c r="C947" t="s">
        <v>326</v>
      </c>
      <c r="D947" t="s">
        <v>15</v>
      </c>
      <c r="E947" t="s">
        <v>103</v>
      </c>
      <c r="F947" t="s">
        <v>23</v>
      </c>
      <c r="G947">
        <v>1</v>
      </c>
      <c r="H947" s="3">
        <v>3.25</v>
      </c>
      <c r="I947" s="3">
        <v>3.25</v>
      </c>
      <c r="J947" t="s">
        <v>53</v>
      </c>
      <c r="K947">
        <v>20</v>
      </c>
      <c r="L947">
        <v>17</v>
      </c>
      <c r="M947" t="s">
        <v>19</v>
      </c>
      <c r="N947">
        <f t="shared" si="28"/>
        <v>3.25</v>
      </c>
      <c r="O947" t="b">
        <f t="shared" si="29"/>
        <v>1</v>
      </c>
    </row>
    <row r="948" spans="1:15">
      <c r="A948" t="s">
        <v>1123</v>
      </c>
      <c r="B948" s="2">
        <v>46252</v>
      </c>
      <c r="C948" t="s">
        <v>615</v>
      </c>
      <c r="D948" t="s">
        <v>35</v>
      </c>
      <c r="E948" t="s">
        <v>16</v>
      </c>
      <c r="F948" t="s">
        <v>17</v>
      </c>
      <c r="G948">
        <v>1</v>
      </c>
      <c r="H948" s="3">
        <v>9.9499999999999993</v>
      </c>
      <c r="I948" s="3">
        <v>9.9499999999999993</v>
      </c>
      <c r="J948" t="s">
        <v>32</v>
      </c>
      <c r="K948">
        <v>20</v>
      </c>
      <c r="L948">
        <v>24</v>
      </c>
      <c r="M948" t="s">
        <v>19</v>
      </c>
      <c r="N948">
        <f t="shared" si="28"/>
        <v>9.9499999999999993</v>
      </c>
      <c r="O948" t="b">
        <f t="shared" si="29"/>
        <v>1</v>
      </c>
    </row>
    <row r="949" spans="1:15">
      <c r="A949" t="s">
        <v>1124</v>
      </c>
      <c r="B949" s="2">
        <v>46086</v>
      </c>
      <c r="C949" t="s">
        <v>165</v>
      </c>
      <c r="D949" t="s">
        <v>15</v>
      </c>
      <c r="E949" t="s">
        <v>56</v>
      </c>
      <c r="F949" t="s">
        <v>23</v>
      </c>
      <c r="G949">
        <v>1</v>
      </c>
      <c r="H949" s="3">
        <v>3.75</v>
      </c>
      <c r="I949" s="3">
        <v>3.75</v>
      </c>
      <c r="J949" t="s">
        <v>18</v>
      </c>
      <c r="K949">
        <v>12</v>
      </c>
      <c r="L949">
        <v>8</v>
      </c>
      <c r="M949" t="s">
        <v>19</v>
      </c>
      <c r="N949">
        <f t="shared" si="28"/>
        <v>3.75</v>
      </c>
      <c r="O949" t="b">
        <f t="shared" si="29"/>
        <v>1</v>
      </c>
    </row>
    <row r="950" spans="1:15">
      <c r="A950" t="s">
        <v>1125</v>
      </c>
      <c r="B950" s="2">
        <v>46126</v>
      </c>
      <c r="C950" t="s">
        <v>395</v>
      </c>
      <c r="D950" t="s">
        <v>15</v>
      </c>
      <c r="E950" t="s">
        <v>83</v>
      </c>
      <c r="F950" t="s">
        <v>17</v>
      </c>
      <c r="G950">
        <v>1</v>
      </c>
      <c r="H950" s="3">
        <v>13.5</v>
      </c>
      <c r="I950" s="3">
        <v>13.5</v>
      </c>
      <c r="J950" t="s">
        <v>53</v>
      </c>
      <c r="K950">
        <v>24</v>
      </c>
      <c r="L950">
        <v>5</v>
      </c>
      <c r="M950" t="s">
        <v>19</v>
      </c>
      <c r="N950">
        <f t="shared" si="28"/>
        <v>13.5</v>
      </c>
      <c r="O950" t="b">
        <f t="shared" si="29"/>
        <v>1</v>
      </c>
    </row>
    <row r="951" spans="1:15">
      <c r="A951" t="s">
        <v>1126</v>
      </c>
      <c r="B951" s="2">
        <v>46091</v>
      </c>
      <c r="C951" t="s">
        <v>178</v>
      </c>
      <c r="D951" t="s">
        <v>15</v>
      </c>
      <c r="E951" t="s">
        <v>78</v>
      </c>
      <c r="F951" t="s">
        <v>47</v>
      </c>
      <c r="G951">
        <v>2</v>
      </c>
      <c r="H951" s="3">
        <v>7.25</v>
      </c>
      <c r="I951" s="3">
        <v>14.5</v>
      </c>
      <c r="J951" t="s">
        <v>27</v>
      </c>
      <c r="K951">
        <v>25</v>
      </c>
      <c r="L951">
        <v>7</v>
      </c>
      <c r="M951" t="s">
        <v>19</v>
      </c>
      <c r="N951">
        <f t="shared" si="28"/>
        <v>14.5</v>
      </c>
      <c r="O951" t="b">
        <f t="shared" si="29"/>
        <v>1</v>
      </c>
    </row>
    <row r="952" spans="1:15">
      <c r="A952" t="s">
        <v>1127</v>
      </c>
      <c r="B952" s="2">
        <v>46192</v>
      </c>
      <c r="C952" t="s">
        <v>108</v>
      </c>
      <c r="D952" t="s">
        <v>15</v>
      </c>
      <c r="E952" t="s">
        <v>83</v>
      </c>
      <c r="F952" t="s">
        <v>17</v>
      </c>
      <c r="G952">
        <v>3</v>
      </c>
      <c r="H952" s="3">
        <v>13.5</v>
      </c>
      <c r="I952" s="3">
        <v>40.5</v>
      </c>
      <c r="J952" t="s">
        <v>18</v>
      </c>
      <c r="K952">
        <v>23</v>
      </c>
      <c r="L952">
        <v>26</v>
      </c>
      <c r="M952" t="s">
        <v>19</v>
      </c>
      <c r="N952">
        <f t="shared" si="28"/>
        <v>40.5</v>
      </c>
      <c r="O952" t="b">
        <f t="shared" si="29"/>
        <v>1</v>
      </c>
    </row>
    <row r="953" spans="1:15">
      <c r="A953" t="s">
        <v>1128</v>
      </c>
      <c r="B953" s="2">
        <v>46218</v>
      </c>
      <c r="C953" t="s">
        <v>167</v>
      </c>
      <c r="D953" t="s">
        <v>35</v>
      </c>
      <c r="E953" t="s">
        <v>26</v>
      </c>
      <c r="F953" t="s">
        <v>17</v>
      </c>
      <c r="G953">
        <v>1</v>
      </c>
      <c r="H953" s="3">
        <v>11.5</v>
      </c>
      <c r="I953" s="3">
        <v>11.5</v>
      </c>
      <c r="J953" t="s">
        <v>53</v>
      </c>
      <c r="K953">
        <v>3</v>
      </c>
      <c r="L953">
        <v>19</v>
      </c>
      <c r="M953" t="s">
        <v>19</v>
      </c>
      <c r="N953">
        <f t="shared" si="28"/>
        <v>11.5</v>
      </c>
      <c r="O953" t="b">
        <f t="shared" si="29"/>
        <v>1</v>
      </c>
    </row>
    <row r="954" spans="1:15">
      <c r="A954" t="s">
        <v>1129</v>
      </c>
      <c r="B954" s="2">
        <v>46049</v>
      </c>
      <c r="C954" t="s">
        <v>116</v>
      </c>
      <c r="D954" t="s">
        <v>35</v>
      </c>
      <c r="E954" t="s">
        <v>50</v>
      </c>
      <c r="F954" t="s">
        <v>17</v>
      </c>
      <c r="G954">
        <v>1</v>
      </c>
      <c r="H954" s="3">
        <v>14.5</v>
      </c>
      <c r="I954" s="3">
        <v>14.5</v>
      </c>
      <c r="J954" t="s">
        <v>27</v>
      </c>
      <c r="K954">
        <v>7</v>
      </c>
      <c r="L954">
        <v>9</v>
      </c>
      <c r="M954" t="s">
        <v>19</v>
      </c>
      <c r="N954">
        <f t="shared" si="28"/>
        <v>14.5</v>
      </c>
      <c r="O954" t="b">
        <f t="shared" si="29"/>
        <v>1</v>
      </c>
    </row>
    <row r="955" spans="1:15">
      <c r="A955" t="s">
        <v>1130</v>
      </c>
      <c r="B955" s="2">
        <v>46063</v>
      </c>
      <c r="C955" t="s">
        <v>195</v>
      </c>
      <c r="D955" t="s">
        <v>35</v>
      </c>
      <c r="E955" t="s">
        <v>106</v>
      </c>
      <c r="F955" t="s">
        <v>17</v>
      </c>
      <c r="G955">
        <v>2</v>
      </c>
      <c r="H955" s="3">
        <v>15.95</v>
      </c>
      <c r="I955" s="3">
        <v>31.9</v>
      </c>
      <c r="J955" t="s">
        <v>27</v>
      </c>
      <c r="K955">
        <v>14</v>
      </c>
      <c r="L955">
        <v>16</v>
      </c>
      <c r="M955" t="s">
        <v>19</v>
      </c>
      <c r="N955">
        <f t="shared" si="28"/>
        <v>31.9</v>
      </c>
      <c r="O955" t="b">
        <f t="shared" si="29"/>
        <v>1</v>
      </c>
    </row>
    <row r="956" spans="1:15">
      <c r="A956" t="s">
        <v>1131</v>
      </c>
      <c r="B956" s="2">
        <v>46150</v>
      </c>
      <c r="C956" t="s">
        <v>275</v>
      </c>
      <c r="D956" t="s">
        <v>15</v>
      </c>
      <c r="E956" t="s">
        <v>70</v>
      </c>
      <c r="F956" t="s">
        <v>17</v>
      </c>
      <c r="G956">
        <v>1</v>
      </c>
      <c r="H956" s="3">
        <v>12.5</v>
      </c>
      <c r="I956" s="3">
        <v>12.5</v>
      </c>
      <c r="J956" t="s">
        <v>18</v>
      </c>
      <c r="K956">
        <v>13</v>
      </c>
      <c r="L956">
        <v>30</v>
      </c>
      <c r="M956" t="s">
        <v>19</v>
      </c>
      <c r="N956">
        <f t="shared" si="28"/>
        <v>12.5</v>
      </c>
      <c r="O956" t="b">
        <f t="shared" si="29"/>
        <v>1</v>
      </c>
    </row>
    <row r="957" spans="1:15">
      <c r="A957" t="s">
        <v>1132</v>
      </c>
      <c r="B957" s="2">
        <v>46264</v>
      </c>
      <c r="C957" t="s">
        <v>193</v>
      </c>
      <c r="D957" t="s">
        <v>35</v>
      </c>
      <c r="E957" t="s">
        <v>78</v>
      </c>
      <c r="F957" t="s">
        <v>47</v>
      </c>
      <c r="G957">
        <v>2</v>
      </c>
      <c r="H957" s="3">
        <v>7.25</v>
      </c>
      <c r="I957" s="3">
        <v>14.5</v>
      </c>
      <c r="J957" t="s">
        <v>32</v>
      </c>
      <c r="K957">
        <v>1</v>
      </c>
      <c r="L957">
        <v>27</v>
      </c>
      <c r="M957" t="s">
        <v>19</v>
      </c>
      <c r="N957">
        <f t="shared" si="28"/>
        <v>14.5</v>
      </c>
      <c r="O957" t="b">
        <f t="shared" si="29"/>
        <v>1</v>
      </c>
    </row>
    <row r="958" spans="1:15">
      <c r="A958" t="s">
        <v>1133</v>
      </c>
      <c r="B958" s="2">
        <v>46241</v>
      </c>
      <c r="C958" t="s">
        <v>273</v>
      </c>
      <c r="D958" t="s">
        <v>35</v>
      </c>
      <c r="E958" t="s">
        <v>36</v>
      </c>
      <c r="F958" t="s">
        <v>23</v>
      </c>
      <c r="G958">
        <v>1</v>
      </c>
      <c r="H958" s="3">
        <v>2.8</v>
      </c>
      <c r="I958" s="3">
        <v>2.8</v>
      </c>
      <c r="J958" t="s">
        <v>18</v>
      </c>
      <c r="K958">
        <v>10</v>
      </c>
      <c r="L958">
        <v>15</v>
      </c>
      <c r="M958" t="s">
        <v>19</v>
      </c>
      <c r="N958">
        <f t="shared" si="28"/>
        <v>2.8</v>
      </c>
      <c r="O958" t="b">
        <f t="shared" si="29"/>
        <v>1</v>
      </c>
    </row>
    <row r="959" spans="1:15">
      <c r="A959" t="s">
        <v>1134</v>
      </c>
      <c r="B959" s="2">
        <v>46215</v>
      </c>
      <c r="C959" t="s">
        <v>34</v>
      </c>
      <c r="D959" t="s">
        <v>35</v>
      </c>
      <c r="E959" t="s">
        <v>93</v>
      </c>
      <c r="F959" t="s">
        <v>31</v>
      </c>
      <c r="G959">
        <v>1</v>
      </c>
      <c r="H959" s="3">
        <v>6.25</v>
      </c>
      <c r="I959" s="3">
        <v>6.25</v>
      </c>
      <c r="J959" t="s">
        <v>27</v>
      </c>
      <c r="K959">
        <v>7</v>
      </c>
      <c r="L959">
        <v>25</v>
      </c>
      <c r="M959" t="s">
        <v>19</v>
      </c>
      <c r="N959">
        <f t="shared" si="28"/>
        <v>6.25</v>
      </c>
      <c r="O959" t="b">
        <f t="shared" si="29"/>
        <v>1</v>
      </c>
    </row>
    <row r="960" spans="1:15">
      <c r="A960" t="s">
        <v>1135</v>
      </c>
      <c r="B960" s="2">
        <v>46120</v>
      </c>
      <c r="C960" t="s">
        <v>320</v>
      </c>
      <c r="D960" t="s">
        <v>15</v>
      </c>
      <c r="E960" t="s">
        <v>30</v>
      </c>
      <c r="F960" t="s">
        <v>31</v>
      </c>
      <c r="G960">
        <v>1</v>
      </c>
      <c r="H960" s="3">
        <v>8.5</v>
      </c>
      <c r="I960" s="3">
        <v>8.5</v>
      </c>
      <c r="J960" t="s">
        <v>18</v>
      </c>
      <c r="K960">
        <v>12</v>
      </c>
      <c r="L960">
        <v>30</v>
      </c>
      <c r="M960" t="s">
        <v>19</v>
      </c>
      <c r="N960">
        <f t="shared" si="28"/>
        <v>8.5</v>
      </c>
      <c r="O960" t="b">
        <f t="shared" si="29"/>
        <v>1</v>
      </c>
    </row>
    <row r="961" spans="1:15">
      <c r="A961" t="s">
        <v>1136</v>
      </c>
      <c r="B961" s="2">
        <v>46180</v>
      </c>
      <c r="C961" t="s">
        <v>82</v>
      </c>
      <c r="D961" t="s">
        <v>35</v>
      </c>
      <c r="E961" t="s">
        <v>78</v>
      </c>
      <c r="F961" t="s">
        <v>47</v>
      </c>
      <c r="G961">
        <v>3</v>
      </c>
      <c r="H961" s="3">
        <v>7.25</v>
      </c>
      <c r="I961" s="3">
        <v>21.75</v>
      </c>
      <c r="J961" t="s">
        <v>53</v>
      </c>
      <c r="K961">
        <v>13</v>
      </c>
      <c r="L961">
        <v>14</v>
      </c>
      <c r="M961" t="s">
        <v>19</v>
      </c>
      <c r="N961">
        <f t="shared" si="28"/>
        <v>21.75</v>
      </c>
      <c r="O961" t="b">
        <f t="shared" si="29"/>
        <v>1</v>
      </c>
    </row>
    <row r="962" spans="1:15">
      <c r="A962" t="s">
        <v>1137</v>
      </c>
      <c r="B962" s="2">
        <v>46106</v>
      </c>
      <c r="C962" t="s">
        <v>43</v>
      </c>
      <c r="D962" t="s">
        <v>15</v>
      </c>
      <c r="E962" t="s">
        <v>30</v>
      </c>
      <c r="F962" t="s">
        <v>31</v>
      </c>
      <c r="G962">
        <v>1</v>
      </c>
      <c r="H962" s="3">
        <v>8.5</v>
      </c>
      <c r="I962" s="3">
        <v>8.5</v>
      </c>
      <c r="J962" t="s">
        <v>18</v>
      </c>
      <c r="K962">
        <v>2</v>
      </c>
      <c r="L962">
        <v>12</v>
      </c>
      <c r="M962" t="s">
        <v>19</v>
      </c>
      <c r="N962">
        <f t="shared" ref="N962:N1025" si="30">G962*H962</f>
        <v>8.5</v>
      </c>
      <c r="O962" t="b">
        <f t="shared" ref="O962:O1025" si="31">OR(AND(M962="Completed",I962=N962),AND(M962="Refunded",ABS(I962)=N962),AND(M962="Cancelled",I962=0))</f>
        <v>1</v>
      </c>
    </row>
    <row r="963" spans="1:15">
      <c r="A963" t="s">
        <v>1138</v>
      </c>
      <c r="B963" s="2">
        <v>46240</v>
      </c>
      <c r="C963" t="s">
        <v>167</v>
      </c>
      <c r="D963" t="s">
        <v>35</v>
      </c>
      <c r="E963" t="s">
        <v>83</v>
      </c>
      <c r="F963" t="s">
        <v>17</v>
      </c>
      <c r="G963">
        <v>3</v>
      </c>
      <c r="H963" s="3">
        <v>13.5</v>
      </c>
      <c r="I963" s="3">
        <v>40.5</v>
      </c>
      <c r="J963" t="s">
        <v>18</v>
      </c>
      <c r="K963">
        <v>21</v>
      </c>
      <c r="L963">
        <v>15</v>
      </c>
      <c r="M963" t="s">
        <v>19</v>
      </c>
      <c r="N963">
        <f t="shared" si="30"/>
        <v>40.5</v>
      </c>
      <c r="O963" t="b">
        <f t="shared" si="31"/>
        <v>1</v>
      </c>
    </row>
    <row r="964" spans="1:15">
      <c r="A964" t="s">
        <v>1139</v>
      </c>
      <c r="B964" s="2">
        <v>46037</v>
      </c>
      <c r="C964" t="s">
        <v>112</v>
      </c>
      <c r="D964" t="s">
        <v>35</v>
      </c>
      <c r="E964" t="s">
        <v>41</v>
      </c>
      <c r="F964" t="s">
        <v>31</v>
      </c>
      <c r="G964">
        <v>2</v>
      </c>
      <c r="H964" s="3">
        <v>5.5</v>
      </c>
      <c r="I964" s="3">
        <v>11</v>
      </c>
      <c r="J964" t="s">
        <v>53</v>
      </c>
      <c r="K964">
        <v>19</v>
      </c>
      <c r="L964">
        <v>22</v>
      </c>
      <c r="M964" t="s">
        <v>19</v>
      </c>
      <c r="N964">
        <f t="shared" si="30"/>
        <v>11</v>
      </c>
      <c r="O964" t="b">
        <f t="shared" si="31"/>
        <v>1</v>
      </c>
    </row>
    <row r="965" spans="1:15">
      <c r="A965" t="s">
        <v>1140</v>
      </c>
      <c r="B965" s="2">
        <v>46105</v>
      </c>
      <c r="C965" t="s">
        <v>154</v>
      </c>
      <c r="D965" t="s">
        <v>15</v>
      </c>
      <c r="E965" t="s">
        <v>46</v>
      </c>
      <c r="F965" t="s">
        <v>47</v>
      </c>
      <c r="G965">
        <v>1</v>
      </c>
      <c r="H965" s="3">
        <v>6.95</v>
      </c>
      <c r="I965" s="3">
        <v>6.95</v>
      </c>
      <c r="J965" t="s">
        <v>27</v>
      </c>
      <c r="K965">
        <v>29</v>
      </c>
      <c r="L965">
        <v>19</v>
      </c>
      <c r="M965" t="s">
        <v>19</v>
      </c>
      <c r="N965">
        <f t="shared" si="30"/>
        <v>6.95</v>
      </c>
      <c r="O965" t="b">
        <f t="shared" si="31"/>
        <v>1</v>
      </c>
    </row>
    <row r="966" spans="1:15">
      <c r="A966" t="s">
        <v>1141</v>
      </c>
      <c r="B966" s="2">
        <v>46119</v>
      </c>
      <c r="C966" t="s">
        <v>91</v>
      </c>
      <c r="D966" t="s">
        <v>35</v>
      </c>
      <c r="E966" t="s">
        <v>41</v>
      </c>
      <c r="F966" t="s">
        <v>31</v>
      </c>
      <c r="G966">
        <v>2</v>
      </c>
      <c r="H966" s="3">
        <v>5.5</v>
      </c>
      <c r="I966" s="3">
        <v>11</v>
      </c>
      <c r="J966" t="s">
        <v>18</v>
      </c>
      <c r="K966">
        <v>13</v>
      </c>
      <c r="L966">
        <v>28</v>
      </c>
      <c r="M966" t="s">
        <v>19</v>
      </c>
      <c r="N966">
        <f t="shared" si="30"/>
        <v>11</v>
      </c>
      <c r="O966" t="b">
        <f t="shared" si="31"/>
        <v>1</v>
      </c>
    </row>
    <row r="967" spans="1:15">
      <c r="A967" t="s">
        <v>1142</v>
      </c>
      <c r="B967" s="2">
        <v>46233</v>
      </c>
      <c r="C967" t="s">
        <v>279</v>
      </c>
      <c r="D967" t="s">
        <v>35</v>
      </c>
      <c r="E967" t="s">
        <v>59</v>
      </c>
      <c r="F967" t="s">
        <v>17</v>
      </c>
      <c r="G967">
        <v>2</v>
      </c>
      <c r="H967" s="3">
        <v>11.95</v>
      </c>
      <c r="I967" s="3">
        <v>-23.9</v>
      </c>
      <c r="J967" t="s">
        <v>27</v>
      </c>
      <c r="K967">
        <v>26</v>
      </c>
      <c r="L967">
        <v>18</v>
      </c>
      <c r="M967" t="s">
        <v>62</v>
      </c>
      <c r="N967">
        <f t="shared" si="30"/>
        <v>23.9</v>
      </c>
      <c r="O967" t="b">
        <f t="shared" si="31"/>
        <v>1</v>
      </c>
    </row>
    <row r="968" spans="1:15">
      <c r="A968" t="s">
        <v>1143</v>
      </c>
      <c r="B968" s="2">
        <v>46096</v>
      </c>
      <c r="C968" t="s">
        <v>697</v>
      </c>
      <c r="D968" t="s">
        <v>15</v>
      </c>
      <c r="E968" t="s">
        <v>46</v>
      </c>
      <c r="F968" t="s">
        <v>47</v>
      </c>
      <c r="G968">
        <v>2</v>
      </c>
      <c r="H968" s="3">
        <v>6.95</v>
      </c>
      <c r="I968" s="3">
        <v>13.9</v>
      </c>
      <c r="J968" t="s">
        <v>27</v>
      </c>
      <c r="K968">
        <v>1</v>
      </c>
      <c r="L968">
        <v>27</v>
      </c>
      <c r="M968" t="s">
        <v>19</v>
      </c>
      <c r="N968">
        <f t="shared" si="30"/>
        <v>13.9</v>
      </c>
      <c r="O968" t="b">
        <f t="shared" si="31"/>
        <v>1</v>
      </c>
    </row>
    <row r="969" spans="1:15">
      <c r="A969" t="s">
        <v>1144</v>
      </c>
      <c r="B969" s="2">
        <v>46236</v>
      </c>
      <c r="C969" t="s">
        <v>105</v>
      </c>
      <c r="D969" t="s">
        <v>35</v>
      </c>
      <c r="E969" t="s">
        <v>78</v>
      </c>
      <c r="F969" t="s">
        <v>47</v>
      </c>
      <c r="G969">
        <v>1</v>
      </c>
      <c r="H969" s="3">
        <v>7.25</v>
      </c>
      <c r="I969" s="3">
        <v>7.25</v>
      </c>
      <c r="J969" t="s">
        <v>18</v>
      </c>
      <c r="K969">
        <v>6</v>
      </c>
      <c r="L969">
        <v>19</v>
      </c>
      <c r="M969" t="s">
        <v>19</v>
      </c>
      <c r="N969">
        <f t="shared" si="30"/>
        <v>7.25</v>
      </c>
      <c r="O969" t="b">
        <f t="shared" si="31"/>
        <v>1</v>
      </c>
    </row>
    <row r="970" spans="1:15">
      <c r="A970" t="s">
        <v>1145</v>
      </c>
      <c r="B970" s="2">
        <v>46124</v>
      </c>
      <c r="C970" t="s">
        <v>82</v>
      </c>
      <c r="D970" t="s">
        <v>35</v>
      </c>
      <c r="E970" t="s">
        <v>96</v>
      </c>
      <c r="F970" t="s">
        <v>47</v>
      </c>
      <c r="G970">
        <v>1</v>
      </c>
      <c r="H970" s="3">
        <v>5.75</v>
      </c>
      <c r="I970" s="3">
        <v>5.75</v>
      </c>
      <c r="J970" t="s">
        <v>32</v>
      </c>
      <c r="K970">
        <v>6</v>
      </c>
      <c r="L970">
        <v>20</v>
      </c>
      <c r="M970" t="s">
        <v>19</v>
      </c>
      <c r="N970">
        <f t="shared" si="30"/>
        <v>5.75</v>
      </c>
      <c r="O970" t="b">
        <f t="shared" si="31"/>
        <v>1</v>
      </c>
    </row>
    <row r="971" spans="1:15">
      <c r="A971" t="s">
        <v>1146</v>
      </c>
      <c r="B971" s="2">
        <v>46121</v>
      </c>
      <c r="C971" t="s">
        <v>385</v>
      </c>
      <c r="D971" t="s">
        <v>15</v>
      </c>
      <c r="E971" t="s">
        <v>56</v>
      </c>
      <c r="F971" t="s">
        <v>23</v>
      </c>
      <c r="G971">
        <v>1</v>
      </c>
      <c r="H971" s="3">
        <v>3.75</v>
      </c>
      <c r="I971" s="3">
        <v>3.75</v>
      </c>
      <c r="J971" t="s">
        <v>27</v>
      </c>
      <c r="K971">
        <v>6</v>
      </c>
      <c r="L971">
        <v>10</v>
      </c>
      <c r="M971" t="s">
        <v>19</v>
      </c>
      <c r="N971">
        <f t="shared" si="30"/>
        <v>3.75</v>
      </c>
      <c r="O971" t="b">
        <f t="shared" si="31"/>
        <v>1</v>
      </c>
    </row>
    <row r="972" spans="1:15">
      <c r="A972" t="s">
        <v>1147</v>
      </c>
      <c r="B972" s="2">
        <v>46066</v>
      </c>
      <c r="C972" t="s">
        <v>80</v>
      </c>
      <c r="D972" t="s">
        <v>15</v>
      </c>
      <c r="E972" t="s">
        <v>93</v>
      </c>
      <c r="F972" t="s">
        <v>31</v>
      </c>
      <c r="G972">
        <v>1</v>
      </c>
      <c r="H972" s="3">
        <v>6.25</v>
      </c>
      <c r="I972" s="3">
        <v>6.25</v>
      </c>
      <c r="J972" t="s">
        <v>27</v>
      </c>
      <c r="K972">
        <v>4</v>
      </c>
      <c r="L972">
        <v>7</v>
      </c>
      <c r="M972" t="s">
        <v>19</v>
      </c>
      <c r="N972">
        <f t="shared" si="30"/>
        <v>6.25</v>
      </c>
      <c r="O972" t="b">
        <f t="shared" si="31"/>
        <v>1</v>
      </c>
    </row>
    <row r="973" spans="1:15">
      <c r="A973" t="s">
        <v>1148</v>
      </c>
      <c r="B973" s="2">
        <v>46159</v>
      </c>
      <c r="C973" t="s">
        <v>199</v>
      </c>
      <c r="D973" t="s">
        <v>35</v>
      </c>
      <c r="E973" t="s">
        <v>121</v>
      </c>
      <c r="F973" t="s">
        <v>23</v>
      </c>
      <c r="G973">
        <v>2</v>
      </c>
      <c r="H973" s="3">
        <v>6.5</v>
      </c>
      <c r="I973" s="3">
        <v>13</v>
      </c>
      <c r="J973" t="s">
        <v>27</v>
      </c>
      <c r="K973">
        <v>4</v>
      </c>
      <c r="L973">
        <v>14</v>
      </c>
      <c r="M973" t="s">
        <v>19</v>
      </c>
      <c r="N973">
        <f t="shared" si="30"/>
        <v>13</v>
      </c>
      <c r="O973" t="b">
        <f t="shared" si="31"/>
        <v>1</v>
      </c>
    </row>
    <row r="974" spans="1:15">
      <c r="A974" t="s">
        <v>1149</v>
      </c>
      <c r="B974" s="2">
        <v>46026</v>
      </c>
      <c r="C974" t="s">
        <v>25</v>
      </c>
      <c r="D974" t="s">
        <v>15</v>
      </c>
      <c r="E974" t="s">
        <v>103</v>
      </c>
      <c r="F974" t="s">
        <v>23</v>
      </c>
      <c r="G974">
        <v>1</v>
      </c>
      <c r="H974" s="3">
        <v>3.25</v>
      </c>
      <c r="I974" s="3">
        <v>3.25</v>
      </c>
      <c r="J974" t="s">
        <v>53</v>
      </c>
      <c r="K974">
        <v>22</v>
      </c>
      <c r="L974">
        <v>4</v>
      </c>
      <c r="M974" t="s">
        <v>19</v>
      </c>
      <c r="N974">
        <f t="shared" si="30"/>
        <v>3.25</v>
      </c>
      <c r="O974" t="b">
        <f t="shared" si="31"/>
        <v>1</v>
      </c>
    </row>
    <row r="975" spans="1:15">
      <c r="A975" t="s">
        <v>1150</v>
      </c>
      <c r="B975" s="2">
        <v>46184</v>
      </c>
      <c r="C975" t="s">
        <v>64</v>
      </c>
      <c r="D975" t="s">
        <v>35</v>
      </c>
      <c r="E975" t="s">
        <v>46</v>
      </c>
      <c r="F975" t="s">
        <v>47</v>
      </c>
      <c r="G975">
        <v>1</v>
      </c>
      <c r="H975" s="3">
        <v>6.95</v>
      </c>
      <c r="I975" s="3">
        <v>6.95</v>
      </c>
      <c r="J975" t="s">
        <v>53</v>
      </c>
      <c r="K975">
        <v>12</v>
      </c>
      <c r="L975">
        <v>16</v>
      </c>
      <c r="M975" t="s">
        <v>19</v>
      </c>
      <c r="N975">
        <f t="shared" si="30"/>
        <v>6.95</v>
      </c>
      <c r="O975" t="b">
        <f t="shared" si="31"/>
        <v>1</v>
      </c>
    </row>
    <row r="976" spans="1:15">
      <c r="A976" t="s">
        <v>1151</v>
      </c>
      <c r="B976" s="2">
        <v>46074</v>
      </c>
      <c r="C976" t="s">
        <v>489</v>
      </c>
      <c r="D976" t="s">
        <v>15</v>
      </c>
      <c r="E976" t="s">
        <v>50</v>
      </c>
      <c r="F976" t="s">
        <v>17</v>
      </c>
      <c r="G976">
        <v>1</v>
      </c>
      <c r="H976" s="3">
        <v>14.5</v>
      </c>
      <c r="I976" s="3">
        <v>14.5</v>
      </c>
      <c r="J976" t="s">
        <v>32</v>
      </c>
      <c r="K976">
        <v>23</v>
      </c>
      <c r="L976">
        <v>19</v>
      </c>
      <c r="M976" t="s">
        <v>19</v>
      </c>
      <c r="N976">
        <f t="shared" si="30"/>
        <v>14.5</v>
      </c>
      <c r="O976" t="b">
        <f t="shared" si="31"/>
        <v>1</v>
      </c>
    </row>
    <row r="977" spans="1:15">
      <c r="A977" t="s">
        <v>1152</v>
      </c>
      <c r="B977" s="2">
        <v>46150</v>
      </c>
      <c r="C977" t="s">
        <v>124</v>
      </c>
      <c r="D977" t="s">
        <v>15</v>
      </c>
      <c r="E977" t="s">
        <v>103</v>
      </c>
      <c r="F977" t="s">
        <v>23</v>
      </c>
      <c r="G977">
        <v>1</v>
      </c>
      <c r="H977" s="3">
        <v>3.25</v>
      </c>
      <c r="I977" s="3">
        <v>3.25</v>
      </c>
      <c r="J977" t="s">
        <v>27</v>
      </c>
      <c r="K977">
        <v>7</v>
      </c>
      <c r="L977">
        <v>5</v>
      </c>
      <c r="M977" t="s">
        <v>19</v>
      </c>
      <c r="N977">
        <f t="shared" si="30"/>
        <v>3.25</v>
      </c>
      <c r="O977" t="b">
        <f t="shared" si="31"/>
        <v>1</v>
      </c>
    </row>
    <row r="978" spans="1:15">
      <c r="A978" t="s">
        <v>1153</v>
      </c>
      <c r="B978" s="2">
        <v>46187</v>
      </c>
      <c r="C978" t="s">
        <v>248</v>
      </c>
      <c r="D978" t="s">
        <v>15</v>
      </c>
      <c r="E978" t="s">
        <v>93</v>
      </c>
      <c r="F978" t="s">
        <v>31</v>
      </c>
      <c r="G978">
        <v>2</v>
      </c>
      <c r="H978" s="3">
        <v>6.25</v>
      </c>
      <c r="I978" s="3">
        <v>12.5</v>
      </c>
      <c r="J978" t="s">
        <v>32</v>
      </c>
      <c r="K978">
        <v>20</v>
      </c>
      <c r="L978">
        <v>11</v>
      </c>
      <c r="M978" t="s">
        <v>19</v>
      </c>
      <c r="N978">
        <f t="shared" si="30"/>
        <v>12.5</v>
      </c>
      <c r="O978" t="b">
        <f t="shared" si="31"/>
        <v>1</v>
      </c>
    </row>
    <row r="979" spans="1:15">
      <c r="A979" t="s">
        <v>1154</v>
      </c>
      <c r="B979" s="2">
        <v>46201</v>
      </c>
      <c r="C979" t="s">
        <v>137</v>
      </c>
      <c r="D979" t="s">
        <v>35</v>
      </c>
      <c r="E979" t="s">
        <v>59</v>
      </c>
      <c r="F979" t="s">
        <v>17</v>
      </c>
      <c r="G979">
        <v>2</v>
      </c>
      <c r="H979" s="3">
        <v>11.95</v>
      </c>
      <c r="I979" s="3">
        <v>23.9</v>
      </c>
      <c r="J979" t="s">
        <v>27</v>
      </c>
      <c r="K979">
        <v>20</v>
      </c>
      <c r="L979">
        <v>16</v>
      </c>
      <c r="M979" t="s">
        <v>19</v>
      </c>
      <c r="N979">
        <f t="shared" si="30"/>
        <v>23.9</v>
      </c>
      <c r="O979" t="b">
        <f t="shared" si="31"/>
        <v>1</v>
      </c>
    </row>
    <row r="980" spans="1:15">
      <c r="A980" t="s">
        <v>1155</v>
      </c>
      <c r="B980" s="2">
        <v>46096</v>
      </c>
      <c r="C980" t="s">
        <v>69</v>
      </c>
      <c r="D980" t="s">
        <v>35</v>
      </c>
      <c r="E980" t="s">
        <v>22</v>
      </c>
      <c r="F980" t="s">
        <v>23</v>
      </c>
      <c r="G980">
        <v>1</v>
      </c>
      <c r="H980" s="3">
        <v>3.1</v>
      </c>
      <c r="I980" s="3">
        <v>3.1</v>
      </c>
      <c r="J980" t="s">
        <v>53</v>
      </c>
      <c r="K980">
        <v>22</v>
      </c>
      <c r="L980">
        <v>14</v>
      </c>
      <c r="M980" t="s">
        <v>19</v>
      </c>
      <c r="N980">
        <f t="shared" si="30"/>
        <v>3.1</v>
      </c>
      <c r="O980" t="b">
        <f t="shared" si="31"/>
        <v>1</v>
      </c>
    </row>
    <row r="981" spans="1:15">
      <c r="A981" t="s">
        <v>1156</v>
      </c>
      <c r="B981" s="2">
        <v>46262</v>
      </c>
      <c r="C981" t="s">
        <v>29</v>
      </c>
      <c r="D981" t="s">
        <v>15</v>
      </c>
      <c r="E981" t="s">
        <v>103</v>
      </c>
      <c r="F981" t="s">
        <v>23</v>
      </c>
      <c r="G981">
        <v>2</v>
      </c>
      <c r="H981" s="3">
        <v>3.25</v>
      </c>
      <c r="I981" s="3">
        <v>6.5</v>
      </c>
      <c r="J981" t="s">
        <v>27</v>
      </c>
      <c r="K981">
        <v>8</v>
      </c>
      <c r="L981">
        <v>4</v>
      </c>
      <c r="M981" t="s">
        <v>19</v>
      </c>
      <c r="N981">
        <f t="shared" si="30"/>
        <v>6.5</v>
      </c>
      <c r="O981" t="b">
        <f t="shared" si="31"/>
        <v>1</v>
      </c>
    </row>
    <row r="982" spans="1:15">
      <c r="A982" t="s">
        <v>1157</v>
      </c>
      <c r="B982" s="2">
        <v>46068</v>
      </c>
      <c r="C982" t="s">
        <v>625</v>
      </c>
      <c r="D982" t="s">
        <v>15</v>
      </c>
      <c r="E982" t="s">
        <v>93</v>
      </c>
      <c r="F982" t="s">
        <v>31</v>
      </c>
      <c r="G982">
        <v>3</v>
      </c>
      <c r="H982" s="3">
        <v>6.25</v>
      </c>
      <c r="I982" s="3">
        <v>-18.75</v>
      </c>
      <c r="J982" t="s">
        <v>18</v>
      </c>
      <c r="K982">
        <v>22</v>
      </c>
      <c r="L982">
        <v>14</v>
      </c>
      <c r="M982" t="s">
        <v>62</v>
      </c>
      <c r="N982">
        <f t="shared" si="30"/>
        <v>18.75</v>
      </c>
      <c r="O982" t="b">
        <f t="shared" si="31"/>
        <v>1</v>
      </c>
    </row>
    <row r="983" spans="1:15">
      <c r="A983" t="s">
        <v>1158</v>
      </c>
      <c r="B983" s="2">
        <v>46086</v>
      </c>
      <c r="C983" t="s">
        <v>130</v>
      </c>
      <c r="D983" t="s">
        <v>35</v>
      </c>
      <c r="E983" t="s">
        <v>103</v>
      </c>
      <c r="F983" t="s">
        <v>23</v>
      </c>
      <c r="G983">
        <v>1</v>
      </c>
      <c r="H983" s="3">
        <v>3.25</v>
      </c>
      <c r="I983" s="3">
        <v>3.25</v>
      </c>
      <c r="J983" t="s">
        <v>53</v>
      </c>
      <c r="K983">
        <v>11</v>
      </c>
      <c r="L983">
        <v>22</v>
      </c>
      <c r="M983" t="s">
        <v>19</v>
      </c>
      <c r="N983">
        <f t="shared" si="30"/>
        <v>3.25</v>
      </c>
      <c r="O983" t="b">
        <f t="shared" si="31"/>
        <v>1</v>
      </c>
    </row>
    <row r="984" spans="1:15">
      <c r="A984" t="s">
        <v>1159</v>
      </c>
      <c r="B984" s="2">
        <v>46056</v>
      </c>
      <c r="C984" t="s">
        <v>506</v>
      </c>
      <c r="D984" t="s">
        <v>35</v>
      </c>
      <c r="E984" t="s">
        <v>46</v>
      </c>
      <c r="F984" t="s">
        <v>47</v>
      </c>
      <c r="G984">
        <v>2</v>
      </c>
      <c r="H984" s="3">
        <v>6.95</v>
      </c>
      <c r="I984" s="3">
        <v>13.9</v>
      </c>
      <c r="J984" t="s">
        <v>27</v>
      </c>
      <c r="K984">
        <v>8</v>
      </c>
      <c r="L984">
        <v>26</v>
      </c>
      <c r="M984" t="s">
        <v>19</v>
      </c>
      <c r="N984">
        <f t="shared" si="30"/>
        <v>13.9</v>
      </c>
      <c r="O984" t="b">
        <f t="shared" si="31"/>
        <v>1</v>
      </c>
    </row>
    <row r="985" spans="1:15">
      <c r="A985" t="s">
        <v>1160</v>
      </c>
      <c r="B985" s="2">
        <v>46082</v>
      </c>
      <c r="C985" t="s">
        <v>322</v>
      </c>
      <c r="D985" t="s">
        <v>15</v>
      </c>
      <c r="E985" t="s">
        <v>93</v>
      </c>
      <c r="F985" t="s">
        <v>31</v>
      </c>
      <c r="G985">
        <v>2</v>
      </c>
      <c r="H985" s="3">
        <v>6.25</v>
      </c>
      <c r="I985" s="3">
        <v>12.5</v>
      </c>
      <c r="J985" t="s">
        <v>53</v>
      </c>
      <c r="K985">
        <v>24</v>
      </c>
      <c r="L985">
        <v>14</v>
      </c>
      <c r="M985" t="s">
        <v>19</v>
      </c>
      <c r="N985">
        <f t="shared" si="30"/>
        <v>12.5</v>
      </c>
      <c r="O985" t="b">
        <f t="shared" si="31"/>
        <v>1</v>
      </c>
    </row>
    <row r="986" spans="1:15">
      <c r="A986" t="s">
        <v>1161</v>
      </c>
      <c r="B986" s="2">
        <v>46211</v>
      </c>
      <c r="C986" t="s">
        <v>288</v>
      </c>
      <c r="D986" t="s">
        <v>15</v>
      </c>
      <c r="E986" t="s">
        <v>121</v>
      </c>
      <c r="F986" t="s">
        <v>23</v>
      </c>
      <c r="G986">
        <v>2</v>
      </c>
      <c r="H986" s="3">
        <v>6.5</v>
      </c>
      <c r="I986" s="3">
        <v>13</v>
      </c>
      <c r="J986" t="s">
        <v>18</v>
      </c>
      <c r="K986">
        <v>28</v>
      </c>
      <c r="L986">
        <v>15</v>
      </c>
      <c r="M986" t="s">
        <v>19</v>
      </c>
      <c r="N986">
        <f t="shared" si="30"/>
        <v>13</v>
      </c>
      <c r="O986" t="b">
        <f t="shared" si="31"/>
        <v>1</v>
      </c>
    </row>
    <row r="987" spans="1:15">
      <c r="A987" t="s">
        <v>1162</v>
      </c>
      <c r="B987" s="2">
        <v>46239</v>
      </c>
      <c r="C987" t="s">
        <v>326</v>
      </c>
      <c r="D987" t="s">
        <v>15</v>
      </c>
      <c r="E987" t="s">
        <v>50</v>
      </c>
      <c r="F987" t="s">
        <v>17</v>
      </c>
      <c r="G987">
        <v>1</v>
      </c>
      <c r="H987" s="3">
        <v>14.5</v>
      </c>
      <c r="I987" s="3">
        <v>14.5</v>
      </c>
      <c r="J987" t="s">
        <v>27</v>
      </c>
      <c r="K987">
        <v>19</v>
      </c>
      <c r="L987">
        <v>18</v>
      </c>
      <c r="M987" t="s">
        <v>19</v>
      </c>
      <c r="N987">
        <f t="shared" si="30"/>
        <v>14.5</v>
      </c>
      <c r="O987" t="b">
        <f t="shared" si="31"/>
        <v>1</v>
      </c>
    </row>
    <row r="988" spans="1:15">
      <c r="A988" t="s">
        <v>1163</v>
      </c>
      <c r="B988" s="2">
        <v>46225</v>
      </c>
      <c r="C988" t="s">
        <v>77</v>
      </c>
      <c r="D988" t="s">
        <v>15</v>
      </c>
      <c r="E988" t="s">
        <v>50</v>
      </c>
      <c r="F988" t="s">
        <v>17</v>
      </c>
      <c r="G988">
        <v>2</v>
      </c>
      <c r="H988" s="3">
        <v>14.5</v>
      </c>
      <c r="I988" s="3">
        <v>29</v>
      </c>
      <c r="J988" t="s">
        <v>27</v>
      </c>
      <c r="K988">
        <v>15</v>
      </c>
      <c r="L988">
        <v>19</v>
      </c>
      <c r="M988" t="s">
        <v>19</v>
      </c>
      <c r="N988">
        <f t="shared" si="30"/>
        <v>29</v>
      </c>
      <c r="O988" t="b">
        <f t="shared" si="31"/>
        <v>1</v>
      </c>
    </row>
    <row r="989" spans="1:15">
      <c r="A989" t="s">
        <v>1164</v>
      </c>
      <c r="B989" s="2">
        <v>46168</v>
      </c>
      <c r="C989" t="s">
        <v>391</v>
      </c>
      <c r="D989" t="s">
        <v>15</v>
      </c>
      <c r="E989" t="s">
        <v>93</v>
      </c>
      <c r="F989" t="s">
        <v>31</v>
      </c>
      <c r="G989">
        <v>1</v>
      </c>
      <c r="H989" s="3">
        <v>6.25</v>
      </c>
      <c r="I989" s="3">
        <v>6.25</v>
      </c>
      <c r="J989" t="s">
        <v>27</v>
      </c>
      <c r="K989">
        <v>4</v>
      </c>
      <c r="L989">
        <v>9</v>
      </c>
      <c r="M989" t="s">
        <v>19</v>
      </c>
      <c r="N989">
        <f t="shared" si="30"/>
        <v>6.25</v>
      </c>
      <c r="O989" t="b">
        <f t="shared" si="31"/>
        <v>1</v>
      </c>
    </row>
    <row r="990" spans="1:15">
      <c r="A990" t="s">
        <v>1165</v>
      </c>
      <c r="B990" s="2">
        <v>46267</v>
      </c>
      <c r="C990" t="s">
        <v>167</v>
      </c>
      <c r="D990" t="s">
        <v>35</v>
      </c>
      <c r="E990" t="s">
        <v>126</v>
      </c>
      <c r="F990" t="s">
        <v>31</v>
      </c>
      <c r="G990">
        <v>2</v>
      </c>
      <c r="H990" s="3">
        <v>7.95</v>
      </c>
      <c r="I990" s="3">
        <v>15.9</v>
      </c>
      <c r="J990" t="s">
        <v>32</v>
      </c>
      <c r="K990">
        <v>5</v>
      </c>
      <c r="L990">
        <v>30</v>
      </c>
      <c r="M990" t="s">
        <v>19</v>
      </c>
      <c r="N990">
        <f t="shared" si="30"/>
        <v>15.9</v>
      </c>
      <c r="O990" t="b">
        <f t="shared" si="31"/>
        <v>1</v>
      </c>
    </row>
    <row r="991" spans="1:15">
      <c r="A991" t="s">
        <v>1166</v>
      </c>
      <c r="B991" s="2">
        <v>46130</v>
      </c>
      <c r="C991" t="s">
        <v>448</v>
      </c>
      <c r="D991" t="s">
        <v>35</v>
      </c>
      <c r="E991" t="s">
        <v>83</v>
      </c>
      <c r="F991" t="s">
        <v>17</v>
      </c>
      <c r="G991">
        <v>3</v>
      </c>
      <c r="H991" s="3">
        <v>13.5</v>
      </c>
      <c r="I991" s="3">
        <v>-40.5</v>
      </c>
      <c r="J991" t="s">
        <v>53</v>
      </c>
      <c r="K991">
        <v>6</v>
      </c>
      <c r="L991">
        <v>23</v>
      </c>
      <c r="M991" t="s">
        <v>62</v>
      </c>
      <c r="N991">
        <f t="shared" si="30"/>
        <v>40.5</v>
      </c>
      <c r="O991" t="b">
        <f t="shared" si="31"/>
        <v>1</v>
      </c>
    </row>
    <row r="992" spans="1:15">
      <c r="A992" t="s">
        <v>1167</v>
      </c>
      <c r="B992" s="2">
        <v>46223</v>
      </c>
      <c r="C992" t="s">
        <v>355</v>
      </c>
      <c r="D992" t="s">
        <v>15</v>
      </c>
      <c r="E992" t="s">
        <v>36</v>
      </c>
      <c r="F992" t="s">
        <v>23</v>
      </c>
      <c r="G992">
        <v>1</v>
      </c>
      <c r="H992" s="3">
        <v>2.8</v>
      </c>
      <c r="I992" s="3">
        <v>2.8</v>
      </c>
      <c r="J992" t="s">
        <v>18</v>
      </c>
      <c r="K992">
        <v>25</v>
      </c>
      <c r="L992">
        <v>2</v>
      </c>
      <c r="M992" t="s">
        <v>19</v>
      </c>
      <c r="N992">
        <f t="shared" si="30"/>
        <v>2.8</v>
      </c>
      <c r="O992" t="b">
        <f t="shared" si="31"/>
        <v>1</v>
      </c>
    </row>
    <row r="993" spans="1:15">
      <c r="A993" t="s">
        <v>1168</v>
      </c>
      <c r="B993" s="2">
        <v>46059</v>
      </c>
      <c r="C993" t="s">
        <v>374</v>
      </c>
      <c r="D993" t="s">
        <v>35</v>
      </c>
      <c r="E993" t="s">
        <v>70</v>
      </c>
      <c r="F993" t="s">
        <v>17</v>
      </c>
      <c r="G993">
        <v>2</v>
      </c>
      <c r="H993" s="3">
        <v>12.5</v>
      </c>
      <c r="I993" s="3">
        <v>25</v>
      </c>
      <c r="J993" t="s">
        <v>27</v>
      </c>
      <c r="K993">
        <v>13</v>
      </c>
      <c r="L993">
        <v>5</v>
      </c>
      <c r="M993" t="s">
        <v>19</v>
      </c>
      <c r="N993">
        <f t="shared" si="30"/>
        <v>25</v>
      </c>
      <c r="O993" t="b">
        <f t="shared" si="31"/>
        <v>1</v>
      </c>
    </row>
    <row r="994" spans="1:15">
      <c r="A994" t="s">
        <v>1169</v>
      </c>
      <c r="B994" s="2">
        <v>46188</v>
      </c>
      <c r="C994" t="s">
        <v>191</v>
      </c>
      <c r="D994" t="s">
        <v>35</v>
      </c>
      <c r="E994" t="s">
        <v>126</v>
      </c>
      <c r="F994" t="s">
        <v>31</v>
      </c>
      <c r="G994">
        <v>1</v>
      </c>
      <c r="H994" s="3">
        <v>7.95</v>
      </c>
      <c r="I994" s="3">
        <v>7.95</v>
      </c>
      <c r="J994" t="s">
        <v>27</v>
      </c>
      <c r="K994">
        <v>16</v>
      </c>
      <c r="L994">
        <v>14</v>
      </c>
      <c r="M994" t="s">
        <v>19</v>
      </c>
      <c r="N994">
        <f t="shared" si="30"/>
        <v>7.95</v>
      </c>
      <c r="O994" t="b">
        <f t="shared" si="31"/>
        <v>1</v>
      </c>
    </row>
    <row r="995" spans="1:15">
      <c r="A995" t="s">
        <v>1170</v>
      </c>
      <c r="B995" s="2">
        <v>46097</v>
      </c>
      <c r="C995" t="s">
        <v>697</v>
      </c>
      <c r="D995" t="s">
        <v>15</v>
      </c>
      <c r="E995" t="s">
        <v>26</v>
      </c>
      <c r="F995" t="s">
        <v>17</v>
      </c>
      <c r="G995">
        <v>1</v>
      </c>
      <c r="H995" s="3">
        <v>11.5</v>
      </c>
      <c r="I995" s="3">
        <v>11.5</v>
      </c>
      <c r="J995" t="s">
        <v>18</v>
      </c>
      <c r="K995">
        <v>4</v>
      </c>
      <c r="L995">
        <v>12</v>
      </c>
      <c r="M995" t="s">
        <v>19</v>
      </c>
      <c r="N995">
        <f t="shared" si="30"/>
        <v>11.5</v>
      </c>
      <c r="O995" t="b">
        <f t="shared" si="31"/>
        <v>1</v>
      </c>
    </row>
    <row r="996" spans="1:15">
      <c r="A996" t="s">
        <v>1171</v>
      </c>
      <c r="B996" s="2">
        <v>46098</v>
      </c>
      <c r="C996" t="s">
        <v>128</v>
      </c>
      <c r="D996" t="s">
        <v>15</v>
      </c>
      <c r="E996" t="s">
        <v>106</v>
      </c>
      <c r="F996" t="s">
        <v>17</v>
      </c>
      <c r="G996">
        <v>3</v>
      </c>
      <c r="H996" s="3">
        <v>15.95</v>
      </c>
      <c r="I996" s="3">
        <v>47.85</v>
      </c>
      <c r="J996" t="s">
        <v>27</v>
      </c>
      <c r="K996">
        <v>2</v>
      </c>
      <c r="L996">
        <v>11</v>
      </c>
      <c r="M996" t="s">
        <v>19</v>
      </c>
      <c r="N996">
        <f t="shared" si="30"/>
        <v>47.849999999999994</v>
      </c>
      <c r="O996" t="b">
        <f t="shared" si="31"/>
        <v>1</v>
      </c>
    </row>
    <row r="997" spans="1:15">
      <c r="A997" t="s">
        <v>1172</v>
      </c>
      <c r="B997" s="2">
        <v>46286</v>
      </c>
      <c r="C997" t="s">
        <v>145</v>
      </c>
      <c r="D997" t="s">
        <v>35</v>
      </c>
      <c r="E997" t="s">
        <v>50</v>
      </c>
      <c r="F997" t="s">
        <v>17</v>
      </c>
      <c r="G997">
        <v>2</v>
      </c>
      <c r="H997" s="3">
        <v>14.5</v>
      </c>
      <c r="I997" s="3">
        <v>29</v>
      </c>
      <c r="J997" t="s">
        <v>27</v>
      </c>
      <c r="K997">
        <v>8</v>
      </c>
      <c r="L997">
        <v>25</v>
      </c>
      <c r="M997" t="s">
        <v>19</v>
      </c>
      <c r="N997">
        <f t="shared" si="30"/>
        <v>29</v>
      </c>
      <c r="O997" t="b">
        <f t="shared" si="31"/>
        <v>1</v>
      </c>
    </row>
    <row r="998" spans="1:15">
      <c r="A998" t="s">
        <v>1173</v>
      </c>
      <c r="B998" s="2">
        <v>46146</v>
      </c>
      <c r="C998" t="s">
        <v>551</v>
      </c>
      <c r="D998" t="s">
        <v>35</v>
      </c>
      <c r="E998" t="s">
        <v>56</v>
      </c>
      <c r="F998" t="s">
        <v>23</v>
      </c>
      <c r="G998">
        <v>3</v>
      </c>
      <c r="H998" s="3">
        <v>3.75</v>
      </c>
      <c r="I998" s="3">
        <v>11.25</v>
      </c>
      <c r="J998" t="s">
        <v>18</v>
      </c>
      <c r="K998">
        <v>26</v>
      </c>
      <c r="L998">
        <v>12</v>
      </c>
      <c r="M998" t="s">
        <v>19</v>
      </c>
      <c r="N998">
        <f t="shared" si="30"/>
        <v>11.25</v>
      </c>
      <c r="O998" t="b">
        <f t="shared" si="31"/>
        <v>1</v>
      </c>
    </row>
    <row r="999" spans="1:15">
      <c r="A999" t="s">
        <v>1174</v>
      </c>
      <c r="B999" s="2">
        <v>46068</v>
      </c>
      <c r="C999" t="s">
        <v>55</v>
      </c>
      <c r="D999" t="s">
        <v>35</v>
      </c>
      <c r="E999" t="s">
        <v>41</v>
      </c>
      <c r="F999" t="s">
        <v>31</v>
      </c>
      <c r="G999">
        <v>2</v>
      </c>
      <c r="H999" s="3">
        <v>5.5</v>
      </c>
      <c r="I999" s="3">
        <v>11</v>
      </c>
      <c r="J999" t="s">
        <v>27</v>
      </c>
      <c r="K999">
        <v>12</v>
      </c>
      <c r="L999">
        <v>9</v>
      </c>
      <c r="M999" t="s">
        <v>19</v>
      </c>
      <c r="N999">
        <f t="shared" si="30"/>
        <v>11</v>
      </c>
      <c r="O999" t="b">
        <f t="shared" si="31"/>
        <v>1</v>
      </c>
    </row>
    <row r="1000" spans="1:15">
      <c r="A1000" t="s">
        <v>1175</v>
      </c>
      <c r="B1000" s="2">
        <v>46082</v>
      </c>
      <c r="C1000" t="s">
        <v>128</v>
      </c>
      <c r="D1000" t="s">
        <v>15</v>
      </c>
      <c r="E1000" t="s">
        <v>22</v>
      </c>
      <c r="F1000" t="s">
        <v>23</v>
      </c>
      <c r="G1000">
        <v>1</v>
      </c>
      <c r="H1000" s="3">
        <v>3.1</v>
      </c>
      <c r="I1000" s="3">
        <v>3.1</v>
      </c>
      <c r="J1000" t="s">
        <v>18</v>
      </c>
      <c r="K1000">
        <v>9</v>
      </c>
      <c r="L1000">
        <v>2</v>
      </c>
      <c r="M1000" t="s">
        <v>19</v>
      </c>
      <c r="N1000">
        <f t="shared" si="30"/>
        <v>3.1</v>
      </c>
      <c r="O1000" t="b">
        <f t="shared" si="31"/>
        <v>1</v>
      </c>
    </row>
    <row r="1001" spans="1:15">
      <c r="A1001" t="s">
        <v>1176</v>
      </c>
      <c r="B1001" s="2">
        <v>46071</v>
      </c>
      <c r="C1001" t="s">
        <v>91</v>
      </c>
      <c r="D1001" t="s">
        <v>35</v>
      </c>
      <c r="E1001" t="s">
        <v>103</v>
      </c>
      <c r="F1001" t="s">
        <v>23</v>
      </c>
      <c r="G1001">
        <v>4</v>
      </c>
      <c r="H1001" s="3">
        <v>3.25</v>
      </c>
      <c r="I1001" s="3">
        <v>13</v>
      </c>
      <c r="J1001" t="s">
        <v>27</v>
      </c>
      <c r="K1001">
        <v>14</v>
      </c>
      <c r="L1001">
        <v>9</v>
      </c>
      <c r="M1001" t="s">
        <v>19</v>
      </c>
      <c r="N1001">
        <f t="shared" si="30"/>
        <v>13</v>
      </c>
      <c r="O1001" t="b">
        <f t="shared" si="31"/>
        <v>1</v>
      </c>
    </row>
    <row r="1002" spans="1:15">
      <c r="A1002" t="s">
        <v>1177</v>
      </c>
      <c r="B1002" s="2">
        <v>46087</v>
      </c>
      <c r="C1002" t="s">
        <v>61</v>
      </c>
      <c r="D1002" t="s">
        <v>15</v>
      </c>
      <c r="E1002" t="s">
        <v>36</v>
      </c>
      <c r="F1002" t="s">
        <v>23</v>
      </c>
      <c r="G1002">
        <v>1</v>
      </c>
      <c r="H1002" s="3">
        <v>2.8</v>
      </c>
      <c r="I1002" s="3">
        <v>2.8</v>
      </c>
      <c r="J1002" t="s">
        <v>32</v>
      </c>
      <c r="K1002">
        <v>18</v>
      </c>
      <c r="L1002">
        <v>16</v>
      </c>
      <c r="M1002" t="s">
        <v>19</v>
      </c>
      <c r="N1002">
        <f t="shared" si="30"/>
        <v>2.8</v>
      </c>
      <c r="O1002" t="b">
        <f t="shared" si="31"/>
        <v>1</v>
      </c>
    </row>
    <row r="1003" spans="1:15">
      <c r="A1003" t="s">
        <v>1178</v>
      </c>
      <c r="B1003" s="2">
        <v>46294</v>
      </c>
      <c r="C1003" t="s">
        <v>193</v>
      </c>
      <c r="D1003" t="s">
        <v>35</v>
      </c>
      <c r="E1003" t="s">
        <v>36</v>
      </c>
      <c r="F1003" t="s">
        <v>23</v>
      </c>
      <c r="G1003">
        <v>2</v>
      </c>
      <c r="H1003" s="3">
        <v>2.8</v>
      </c>
      <c r="I1003" s="3">
        <v>5.6</v>
      </c>
      <c r="J1003" t="s">
        <v>32</v>
      </c>
      <c r="K1003">
        <v>4</v>
      </c>
      <c r="L1003">
        <v>13</v>
      </c>
      <c r="M1003" t="s">
        <v>19</v>
      </c>
      <c r="N1003">
        <f t="shared" si="30"/>
        <v>5.6</v>
      </c>
      <c r="O1003" t="b">
        <f t="shared" si="31"/>
        <v>1</v>
      </c>
    </row>
    <row r="1004" spans="1:15">
      <c r="A1004" t="s">
        <v>1179</v>
      </c>
      <c r="B1004" s="2">
        <v>46129</v>
      </c>
      <c r="C1004" t="s">
        <v>142</v>
      </c>
      <c r="D1004" t="s">
        <v>35</v>
      </c>
      <c r="E1004" t="s">
        <v>56</v>
      </c>
      <c r="F1004" t="s">
        <v>23</v>
      </c>
      <c r="G1004">
        <v>2</v>
      </c>
      <c r="H1004" s="3">
        <v>3.75</v>
      </c>
      <c r="I1004" s="3">
        <v>7.5</v>
      </c>
      <c r="J1004" t="s">
        <v>27</v>
      </c>
      <c r="K1004">
        <v>4</v>
      </c>
      <c r="L1004">
        <v>2</v>
      </c>
      <c r="M1004" t="s">
        <v>19</v>
      </c>
      <c r="N1004">
        <f t="shared" si="30"/>
        <v>7.5</v>
      </c>
      <c r="O1004" t="b">
        <f t="shared" si="31"/>
        <v>1</v>
      </c>
    </row>
    <row r="1005" spans="1:15">
      <c r="A1005" t="s">
        <v>1180</v>
      </c>
      <c r="B1005" s="2">
        <v>46128</v>
      </c>
      <c r="C1005" t="s">
        <v>400</v>
      </c>
      <c r="D1005" t="s">
        <v>35</v>
      </c>
      <c r="E1005" t="s">
        <v>41</v>
      </c>
      <c r="F1005" t="s">
        <v>31</v>
      </c>
      <c r="G1005">
        <v>2</v>
      </c>
      <c r="H1005" s="3">
        <v>5.5</v>
      </c>
      <c r="I1005" s="3">
        <v>11</v>
      </c>
      <c r="J1005" t="s">
        <v>53</v>
      </c>
      <c r="K1005">
        <v>3</v>
      </c>
      <c r="L1005">
        <v>16</v>
      </c>
      <c r="M1005" t="s">
        <v>19</v>
      </c>
      <c r="N1005">
        <f t="shared" si="30"/>
        <v>11</v>
      </c>
      <c r="O1005" t="b">
        <f t="shared" si="31"/>
        <v>1</v>
      </c>
    </row>
    <row r="1006" spans="1:15">
      <c r="A1006" t="s">
        <v>1181</v>
      </c>
      <c r="B1006" s="2">
        <v>46282</v>
      </c>
      <c r="C1006" t="s">
        <v>239</v>
      </c>
      <c r="D1006" t="s">
        <v>15</v>
      </c>
      <c r="E1006" t="s">
        <v>78</v>
      </c>
      <c r="F1006" t="s">
        <v>47</v>
      </c>
      <c r="G1006">
        <v>4</v>
      </c>
      <c r="H1006" s="3">
        <v>7.25</v>
      </c>
      <c r="I1006" s="3">
        <v>29</v>
      </c>
      <c r="J1006" t="s">
        <v>53</v>
      </c>
      <c r="K1006">
        <v>17</v>
      </c>
      <c r="L1006">
        <v>21</v>
      </c>
      <c r="M1006" t="s">
        <v>19</v>
      </c>
      <c r="N1006">
        <f t="shared" si="30"/>
        <v>29</v>
      </c>
      <c r="O1006" t="b">
        <f t="shared" si="31"/>
        <v>1</v>
      </c>
    </row>
    <row r="1007" spans="1:15">
      <c r="A1007" t="s">
        <v>1182</v>
      </c>
      <c r="B1007" s="2">
        <v>46173</v>
      </c>
      <c r="C1007" t="s">
        <v>148</v>
      </c>
      <c r="D1007" t="s">
        <v>35</v>
      </c>
      <c r="E1007" t="s">
        <v>121</v>
      </c>
      <c r="F1007" t="s">
        <v>23</v>
      </c>
      <c r="G1007">
        <v>1</v>
      </c>
      <c r="H1007" s="3">
        <v>6.5</v>
      </c>
      <c r="I1007" s="3">
        <v>6.5</v>
      </c>
      <c r="J1007" t="s">
        <v>53</v>
      </c>
      <c r="K1007">
        <v>17</v>
      </c>
      <c r="L1007">
        <v>13</v>
      </c>
      <c r="M1007" t="s">
        <v>19</v>
      </c>
      <c r="N1007">
        <f t="shared" si="30"/>
        <v>6.5</v>
      </c>
      <c r="O1007" t="b">
        <f t="shared" si="31"/>
        <v>1</v>
      </c>
    </row>
    <row r="1008" spans="1:15">
      <c r="A1008" t="s">
        <v>1183</v>
      </c>
      <c r="B1008" s="2">
        <v>46203</v>
      </c>
      <c r="C1008" t="s">
        <v>156</v>
      </c>
      <c r="D1008" t="s">
        <v>35</v>
      </c>
      <c r="E1008" t="s">
        <v>59</v>
      </c>
      <c r="F1008" t="s">
        <v>17</v>
      </c>
      <c r="G1008">
        <v>2</v>
      </c>
      <c r="H1008" s="3">
        <v>11.95</v>
      </c>
      <c r="I1008" s="3">
        <v>23.9</v>
      </c>
      <c r="J1008" t="s">
        <v>53</v>
      </c>
      <c r="K1008">
        <v>10</v>
      </c>
      <c r="L1008">
        <v>20</v>
      </c>
      <c r="M1008" t="s">
        <v>19</v>
      </c>
      <c r="N1008">
        <f t="shared" si="30"/>
        <v>23.9</v>
      </c>
      <c r="O1008" t="b">
        <f t="shared" si="31"/>
        <v>1</v>
      </c>
    </row>
    <row r="1009" spans="1:15">
      <c r="A1009" t="s">
        <v>1184</v>
      </c>
      <c r="B1009" s="2">
        <v>46133</v>
      </c>
      <c r="C1009" t="s">
        <v>254</v>
      </c>
      <c r="D1009" t="s">
        <v>35</v>
      </c>
      <c r="E1009" t="s">
        <v>70</v>
      </c>
      <c r="F1009" t="s">
        <v>17</v>
      </c>
      <c r="G1009">
        <v>2</v>
      </c>
      <c r="H1009" s="3">
        <v>12.5</v>
      </c>
      <c r="I1009" s="3">
        <v>25</v>
      </c>
      <c r="J1009" t="s">
        <v>18</v>
      </c>
      <c r="K1009">
        <v>5</v>
      </c>
      <c r="L1009">
        <v>23</v>
      </c>
      <c r="M1009" t="s">
        <v>19</v>
      </c>
      <c r="N1009">
        <f t="shared" si="30"/>
        <v>25</v>
      </c>
      <c r="O1009" t="b">
        <f t="shared" si="31"/>
        <v>1</v>
      </c>
    </row>
    <row r="1010" spans="1:15">
      <c r="A1010" t="s">
        <v>1185</v>
      </c>
      <c r="B1010" s="2">
        <v>46239</v>
      </c>
      <c r="C1010" t="s">
        <v>465</v>
      </c>
      <c r="D1010" t="s">
        <v>15</v>
      </c>
      <c r="E1010" t="s">
        <v>46</v>
      </c>
      <c r="F1010" t="s">
        <v>47</v>
      </c>
      <c r="G1010">
        <v>2</v>
      </c>
      <c r="H1010" s="3">
        <v>6.95</v>
      </c>
      <c r="I1010" s="3">
        <v>13.9</v>
      </c>
      <c r="J1010" t="s">
        <v>18</v>
      </c>
      <c r="K1010">
        <v>9</v>
      </c>
      <c r="L1010">
        <v>13</v>
      </c>
      <c r="M1010" t="s">
        <v>19</v>
      </c>
      <c r="N1010">
        <f t="shared" si="30"/>
        <v>13.9</v>
      </c>
      <c r="O1010" t="b">
        <f t="shared" si="31"/>
        <v>1</v>
      </c>
    </row>
    <row r="1011" spans="1:15">
      <c r="A1011" t="s">
        <v>1186</v>
      </c>
      <c r="B1011" s="2">
        <v>46096</v>
      </c>
      <c r="C1011" t="s">
        <v>199</v>
      </c>
      <c r="D1011" t="s">
        <v>35</v>
      </c>
      <c r="E1011" t="s">
        <v>41</v>
      </c>
      <c r="F1011" t="s">
        <v>31</v>
      </c>
      <c r="G1011">
        <v>4</v>
      </c>
      <c r="H1011" s="3">
        <v>5.5</v>
      </c>
      <c r="I1011" s="3">
        <v>22</v>
      </c>
      <c r="J1011" t="s">
        <v>27</v>
      </c>
      <c r="K1011">
        <v>21</v>
      </c>
      <c r="L1011">
        <v>21</v>
      </c>
      <c r="M1011" t="s">
        <v>19</v>
      </c>
      <c r="N1011">
        <f t="shared" si="30"/>
        <v>22</v>
      </c>
      <c r="O1011" t="b">
        <f t="shared" si="31"/>
        <v>1</v>
      </c>
    </row>
    <row r="1012" spans="1:15">
      <c r="A1012" t="s">
        <v>1187</v>
      </c>
      <c r="B1012" s="2">
        <v>46213</v>
      </c>
      <c r="C1012" t="s">
        <v>99</v>
      </c>
      <c r="D1012" t="s">
        <v>35</v>
      </c>
      <c r="E1012" t="s">
        <v>56</v>
      </c>
      <c r="F1012" t="s">
        <v>23</v>
      </c>
      <c r="G1012">
        <v>1</v>
      </c>
      <c r="H1012" s="3">
        <v>3.75</v>
      </c>
      <c r="I1012" s="3">
        <v>3.75</v>
      </c>
      <c r="J1012" t="s">
        <v>27</v>
      </c>
      <c r="K1012">
        <v>13</v>
      </c>
      <c r="L1012">
        <v>8</v>
      </c>
      <c r="M1012" t="s">
        <v>19</v>
      </c>
      <c r="N1012">
        <f t="shared" si="30"/>
        <v>3.75</v>
      </c>
      <c r="O1012" t="b">
        <f t="shared" si="31"/>
        <v>1</v>
      </c>
    </row>
    <row r="1013" spans="1:15">
      <c r="A1013" t="s">
        <v>1188</v>
      </c>
      <c r="B1013" s="2">
        <v>46149</v>
      </c>
      <c r="C1013" t="s">
        <v>178</v>
      </c>
      <c r="D1013" t="s">
        <v>15</v>
      </c>
      <c r="E1013" t="s">
        <v>59</v>
      </c>
      <c r="F1013" t="s">
        <v>17</v>
      </c>
      <c r="G1013">
        <v>2</v>
      </c>
      <c r="H1013" s="3">
        <v>11.95</v>
      </c>
      <c r="I1013" s="3">
        <v>23.9</v>
      </c>
      <c r="J1013" t="s">
        <v>27</v>
      </c>
      <c r="K1013">
        <v>3</v>
      </c>
      <c r="L1013">
        <v>25</v>
      </c>
      <c r="M1013" t="s">
        <v>19</v>
      </c>
      <c r="N1013">
        <f t="shared" si="30"/>
        <v>23.9</v>
      </c>
      <c r="O1013" t="b">
        <f t="shared" si="31"/>
        <v>1</v>
      </c>
    </row>
    <row r="1014" spans="1:15">
      <c r="A1014" t="s">
        <v>1189</v>
      </c>
      <c r="B1014" s="2">
        <v>46068</v>
      </c>
      <c r="C1014" t="s">
        <v>465</v>
      </c>
      <c r="D1014" t="s">
        <v>15</v>
      </c>
      <c r="E1014" t="s">
        <v>50</v>
      </c>
      <c r="F1014" t="s">
        <v>17</v>
      </c>
      <c r="G1014">
        <v>2</v>
      </c>
      <c r="H1014" s="3">
        <v>14.5</v>
      </c>
      <c r="I1014" s="3">
        <v>29</v>
      </c>
      <c r="J1014" t="s">
        <v>18</v>
      </c>
      <c r="K1014">
        <v>8</v>
      </c>
      <c r="L1014">
        <v>15</v>
      </c>
      <c r="M1014" t="s">
        <v>19</v>
      </c>
      <c r="N1014">
        <f t="shared" si="30"/>
        <v>29</v>
      </c>
      <c r="O1014" t="b">
        <f t="shared" si="31"/>
        <v>1</v>
      </c>
    </row>
    <row r="1015" spans="1:15">
      <c r="A1015" t="s">
        <v>1190</v>
      </c>
      <c r="B1015" s="2">
        <v>46076</v>
      </c>
      <c r="C1015" t="s">
        <v>142</v>
      </c>
      <c r="D1015" t="s">
        <v>35</v>
      </c>
      <c r="E1015" t="s">
        <v>22</v>
      </c>
      <c r="F1015" t="s">
        <v>23</v>
      </c>
      <c r="G1015">
        <v>2</v>
      </c>
      <c r="H1015" s="3">
        <v>3.1</v>
      </c>
      <c r="I1015" s="3">
        <v>6.2</v>
      </c>
      <c r="J1015" t="s">
        <v>32</v>
      </c>
      <c r="K1015">
        <v>19</v>
      </c>
      <c r="L1015">
        <v>15</v>
      </c>
      <c r="M1015" t="s">
        <v>19</v>
      </c>
      <c r="N1015">
        <f t="shared" si="30"/>
        <v>6.2</v>
      </c>
      <c r="O1015" t="b">
        <f t="shared" si="31"/>
        <v>1</v>
      </c>
    </row>
    <row r="1016" spans="1:15">
      <c r="A1016" t="s">
        <v>1191</v>
      </c>
      <c r="B1016" s="2">
        <v>46273</v>
      </c>
      <c r="C1016" t="s">
        <v>328</v>
      </c>
      <c r="D1016" t="s">
        <v>15</v>
      </c>
      <c r="E1016" t="s">
        <v>121</v>
      </c>
      <c r="F1016" t="s">
        <v>23</v>
      </c>
      <c r="G1016">
        <v>2</v>
      </c>
      <c r="H1016" s="3">
        <v>6.5</v>
      </c>
      <c r="I1016" s="3">
        <v>13</v>
      </c>
      <c r="J1016" t="s">
        <v>27</v>
      </c>
      <c r="K1016">
        <v>2</v>
      </c>
      <c r="L1016">
        <v>8</v>
      </c>
      <c r="M1016" t="s">
        <v>19</v>
      </c>
      <c r="N1016">
        <f t="shared" si="30"/>
        <v>13</v>
      </c>
      <c r="O1016" t="b">
        <f t="shared" si="31"/>
        <v>1</v>
      </c>
    </row>
    <row r="1017" spans="1:15">
      <c r="A1017" t="s">
        <v>1192</v>
      </c>
      <c r="B1017" s="2">
        <v>46222</v>
      </c>
      <c r="C1017" t="s">
        <v>369</v>
      </c>
      <c r="D1017" t="s">
        <v>15</v>
      </c>
      <c r="E1017" t="s">
        <v>56</v>
      </c>
      <c r="F1017" t="s">
        <v>23</v>
      </c>
      <c r="G1017">
        <v>3</v>
      </c>
      <c r="H1017" s="3">
        <v>3.75</v>
      </c>
      <c r="I1017" s="3">
        <v>11.25</v>
      </c>
      <c r="J1017" t="s">
        <v>18</v>
      </c>
      <c r="K1017">
        <v>16</v>
      </c>
      <c r="L1017">
        <v>11</v>
      </c>
      <c r="M1017" t="s">
        <v>19</v>
      </c>
      <c r="N1017">
        <f t="shared" si="30"/>
        <v>11.25</v>
      </c>
      <c r="O1017" t="b">
        <f t="shared" si="31"/>
        <v>1</v>
      </c>
    </row>
    <row r="1018" spans="1:15">
      <c r="A1018" t="s">
        <v>1193</v>
      </c>
      <c r="B1018" s="2">
        <v>46155</v>
      </c>
      <c r="C1018" t="s">
        <v>320</v>
      </c>
      <c r="D1018" t="s">
        <v>15</v>
      </c>
      <c r="E1018" t="s">
        <v>50</v>
      </c>
      <c r="F1018" t="s">
        <v>17</v>
      </c>
      <c r="G1018">
        <v>2</v>
      </c>
      <c r="H1018" s="3">
        <v>14.5</v>
      </c>
      <c r="I1018" s="3">
        <v>29</v>
      </c>
      <c r="J1018" t="s">
        <v>53</v>
      </c>
      <c r="K1018">
        <v>2</v>
      </c>
      <c r="L1018">
        <v>8</v>
      </c>
      <c r="M1018" t="s">
        <v>19</v>
      </c>
      <c r="N1018">
        <f t="shared" si="30"/>
        <v>29</v>
      </c>
      <c r="O1018" t="b">
        <f t="shared" si="31"/>
        <v>1</v>
      </c>
    </row>
    <row r="1019" spans="1:15">
      <c r="A1019" t="s">
        <v>1194</v>
      </c>
      <c r="B1019" s="2">
        <v>46212</v>
      </c>
      <c r="C1019" t="s">
        <v>110</v>
      </c>
      <c r="D1019" t="s">
        <v>35</v>
      </c>
      <c r="E1019" t="s">
        <v>56</v>
      </c>
      <c r="F1019" t="s">
        <v>23</v>
      </c>
      <c r="G1019">
        <v>1</v>
      </c>
      <c r="H1019" s="3">
        <v>3.75</v>
      </c>
      <c r="I1019" s="3">
        <v>3.75</v>
      </c>
      <c r="J1019" t="s">
        <v>18</v>
      </c>
      <c r="K1019">
        <v>6</v>
      </c>
      <c r="L1019">
        <v>19</v>
      </c>
      <c r="M1019" t="s">
        <v>19</v>
      </c>
      <c r="N1019">
        <f t="shared" si="30"/>
        <v>3.75</v>
      </c>
      <c r="O1019" t="b">
        <f t="shared" si="31"/>
        <v>1</v>
      </c>
    </row>
    <row r="1020" spans="1:15">
      <c r="A1020" t="s">
        <v>1195</v>
      </c>
      <c r="B1020" s="2">
        <v>46204</v>
      </c>
      <c r="C1020" t="s">
        <v>189</v>
      </c>
      <c r="D1020" t="s">
        <v>35</v>
      </c>
      <c r="E1020" t="s">
        <v>41</v>
      </c>
      <c r="F1020" t="s">
        <v>31</v>
      </c>
      <c r="G1020">
        <v>3</v>
      </c>
      <c r="H1020" s="3">
        <v>5.5</v>
      </c>
      <c r="I1020" s="3">
        <v>16.5</v>
      </c>
      <c r="J1020" t="s">
        <v>27</v>
      </c>
      <c r="K1020">
        <v>27</v>
      </c>
      <c r="L1020">
        <v>31</v>
      </c>
      <c r="M1020" t="s">
        <v>19</v>
      </c>
      <c r="N1020">
        <f t="shared" si="30"/>
        <v>16.5</v>
      </c>
      <c r="O1020" t="b">
        <f t="shared" si="31"/>
        <v>1</v>
      </c>
    </row>
    <row r="1021" spans="1:15">
      <c r="A1021" t="s">
        <v>1196</v>
      </c>
      <c r="B1021" s="2">
        <v>46067</v>
      </c>
      <c r="C1021" t="s">
        <v>180</v>
      </c>
      <c r="D1021" t="s">
        <v>35</v>
      </c>
      <c r="E1021" t="s">
        <v>39</v>
      </c>
      <c r="F1021" t="s">
        <v>17</v>
      </c>
      <c r="G1021">
        <v>2</v>
      </c>
      <c r="H1021" s="3">
        <v>12.95</v>
      </c>
      <c r="I1021" s="3">
        <v>25.9</v>
      </c>
      <c r="J1021" t="s">
        <v>27</v>
      </c>
      <c r="K1021">
        <v>24</v>
      </c>
      <c r="L1021">
        <v>15</v>
      </c>
      <c r="M1021" t="s">
        <v>19</v>
      </c>
      <c r="N1021">
        <f t="shared" si="30"/>
        <v>25.9</v>
      </c>
      <c r="O1021" t="b">
        <f t="shared" si="31"/>
        <v>1</v>
      </c>
    </row>
    <row r="1022" spans="1:15">
      <c r="A1022" t="s">
        <v>1197</v>
      </c>
      <c r="B1022" s="2">
        <v>46070</v>
      </c>
      <c r="C1022" t="s">
        <v>322</v>
      </c>
      <c r="D1022" t="s">
        <v>15</v>
      </c>
      <c r="E1022" t="s">
        <v>126</v>
      </c>
      <c r="F1022" t="s">
        <v>31</v>
      </c>
      <c r="G1022">
        <v>1</v>
      </c>
      <c r="H1022" s="3">
        <v>7.95</v>
      </c>
      <c r="I1022" s="3">
        <v>7.95</v>
      </c>
      <c r="J1022" t="s">
        <v>18</v>
      </c>
      <c r="K1022">
        <v>14</v>
      </c>
      <c r="L1022">
        <v>16</v>
      </c>
      <c r="M1022" t="s">
        <v>19</v>
      </c>
      <c r="N1022">
        <f t="shared" si="30"/>
        <v>7.95</v>
      </c>
      <c r="O1022" t="b">
        <f t="shared" si="31"/>
        <v>1</v>
      </c>
    </row>
    <row r="1023" spans="1:15">
      <c r="A1023" t="s">
        <v>1198</v>
      </c>
      <c r="B1023" s="2">
        <v>46092</v>
      </c>
      <c r="C1023" t="s">
        <v>130</v>
      </c>
      <c r="D1023" t="s">
        <v>35</v>
      </c>
      <c r="E1023" t="s">
        <v>36</v>
      </c>
      <c r="F1023" t="s">
        <v>23</v>
      </c>
      <c r="G1023">
        <v>2</v>
      </c>
      <c r="H1023" s="3">
        <v>2.8</v>
      </c>
      <c r="I1023" s="3">
        <v>5.6</v>
      </c>
      <c r="J1023" t="s">
        <v>18</v>
      </c>
      <c r="K1023">
        <v>1</v>
      </c>
      <c r="L1023">
        <v>12</v>
      </c>
      <c r="M1023" t="s">
        <v>19</v>
      </c>
      <c r="N1023">
        <f t="shared" si="30"/>
        <v>5.6</v>
      </c>
      <c r="O1023" t="b">
        <f t="shared" si="31"/>
        <v>1</v>
      </c>
    </row>
    <row r="1024" spans="1:15">
      <c r="A1024" t="s">
        <v>1199</v>
      </c>
      <c r="B1024" s="2">
        <v>46026</v>
      </c>
      <c r="C1024" t="s">
        <v>99</v>
      </c>
      <c r="D1024" t="s">
        <v>35</v>
      </c>
      <c r="E1024" t="s">
        <v>30</v>
      </c>
      <c r="F1024" t="s">
        <v>31</v>
      </c>
      <c r="G1024">
        <v>1</v>
      </c>
      <c r="H1024" s="3">
        <v>8.5</v>
      </c>
      <c r="I1024" s="3">
        <v>0</v>
      </c>
      <c r="J1024" t="s">
        <v>53</v>
      </c>
      <c r="K1024">
        <v>29</v>
      </c>
      <c r="L1024">
        <v>12</v>
      </c>
      <c r="M1024" t="s">
        <v>152</v>
      </c>
      <c r="N1024">
        <f t="shared" si="30"/>
        <v>8.5</v>
      </c>
      <c r="O1024" t="b">
        <f t="shared" si="31"/>
        <v>1</v>
      </c>
    </row>
    <row r="1025" spans="1:15">
      <c r="A1025" t="s">
        <v>1200</v>
      </c>
      <c r="B1025" s="2">
        <v>46044</v>
      </c>
      <c r="C1025" t="s">
        <v>110</v>
      </c>
      <c r="D1025" t="s">
        <v>35</v>
      </c>
      <c r="E1025" t="s">
        <v>22</v>
      </c>
      <c r="F1025" t="s">
        <v>23</v>
      </c>
      <c r="G1025">
        <v>3</v>
      </c>
      <c r="H1025" s="3">
        <v>3.1</v>
      </c>
      <c r="I1025" s="3">
        <v>9.3000000000000007</v>
      </c>
      <c r="J1025" t="s">
        <v>18</v>
      </c>
      <c r="K1025">
        <v>3</v>
      </c>
      <c r="L1025">
        <v>2</v>
      </c>
      <c r="M1025" t="s">
        <v>19</v>
      </c>
      <c r="N1025">
        <f t="shared" si="30"/>
        <v>9.3000000000000007</v>
      </c>
      <c r="O1025" t="b">
        <f t="shared" si="31"/>
        <v>1</v>
      </c>
    </row>
    <row r="1026" spans="1:15">
      <c r="A1026" t="s">
        <v>1201</v>
      </c>
      <c r="B1026" s="2">
        <v>46091</v>
      </c>
      <c r="C1026" t="s">
        <v>297</v>
      </c>
      <c r="D1026" t="s">
        <v>35</v>
      </c>
      <c r="E1026" t="s">
        <v>103</v>
      </c>
      <c r="F1026" t="s">
        <v>23</v>
      </c>
      <c r="G1026">
        <v>1</v>
      </c>
      <c r="H1026" s="3">
        <v>3.25</v>
      </c>
      <c r="I1026" s="3">
        <v>3.25</v>
      </c>
      <c r="J1026" t="s">
        <v>27</v>
      </c>
      <c r="K1026">
        <v>22</v>
      </c>
      <c r="L1026">
        <v>18</v>
      </c>
      <c r="M1026" t="s">
        <v>19</v>
      </c>
      <c r="N1026">
        <f t="shared" ref="N1026:N1089" si="32">G1026*H1026</f>
        <v>3.25</v>
      </c>
      <c r="O1026" t="b">
        <f t="shared" ref="O1026:O1089" si="33">OR(AND(M1026="Completed",I1026=N1026),AND(M1026="Refunded",ABS(I1026)=N1026),AND(M1026="Cancelled",I1026=0))</f>
        <v>1</v>
      </c>
    </row>
    <row r="1027" spans="1:15">
      <c r="A1027" t="s">
        <v>1202</v>
      </c>
      <c r="B1027" s="2">
        <v>46083</v>
      </c>
      <c r="C1027" t="s">
        <v>43</v>
      </c>
      <c r="D1027" t="s">
        <v>15</v>
      </c>
      <c r="E1027" t="s">
        <v>41</v>
      </c>
      <c r="F1027" t="s">
        <v>31</v>
      </c>
      <c r="G1027">
        <v>1</v>
      </c>
      <c r="H1027" s="3">
        <v>5.5</v>
      </c>
      <c r="I1027" s="3">
        <v>0</v>
      </c>
      <c r="J1027" t="s">
        <v>18</v>
      </c>
      <c r="K1027">
        <v>21</v>
      </c>
      <c r="L1027">
        <v>14</v>
      </c>
      <c r="M1027" t="s">
        <v>152</v>
      </c>
      <c r="N1027">
        <f t="shared" si="32"/>
        <v>5.5</v>
      </c>
      <c r="O1027" t="b">
        <f t="shared" si="33"/>
        <v>1</v>
      </c>
    </row>
    <row r="1028" spans="1:15">
      <c r="A1028" t="s">
        <v>1203</v>
      </c>
      <c r="B1028" s="2">
        <v>46134</v>
      </c>
      <c r="C1028" t="s">
        <v>99</v>
      </c>
      <c r="D1028" t="s">
        <v>35</v>
      </c>
      <c r="E1028" t="s">
        <v>83</v>
      </c>
      <c r="F1028" t="s">
        <v>17</v>
      </c>
      <c r="G1028">
        <v>3</v>
      </c>
      <c r="H1028" s="3">
        <v>13.5</v>
      </c>
      <c r="I1028" s="3">
        <v>40.5</v>
      </c>
      <c r="J1028" t="s">
        <v>18</v>
      </c>
      <c r="K1028">
        <v>1</v>
      </c>
      <c r="L1028">
        <v>21</v>
      </c>
      <c r="M1028" t="s">
        <v>19</v>
      </c>
      <c r="N1028">
        <f t="shared" si="32"/>
        <v>40.5</v>
      </c>
      <c r="O1028" t="b">
        <f t="shared" si="33"/>
        <v>1</v>
      </c>
    </row>
    <row r="1029" spans="1:15">
      <c r="A1029" t="s">
        <v>1204</v>
      </c>
      <c r="B1029" s="2">
        <v>46191</v>
      </c>
      <c r="C1029" t="s">
        <v>251</v>
      </c>
      <c r="D1029" t="s">
        <v>15</v>
      </c>
      <c r="E1029" t="s">
        <v>30</v>
      </c>
      <c r="F1029" t="s">
        <v>31</v>
      </c>
      <c r="G1029">
        <v>3</v>
      </c>
      <c r="H1029" s="3">
        <v>8.5</v>
      </c>
      <c r="I1029" s="3">
        <v>25.5</v>
      </c>
      <c r="J1029" t="s">
        <v>18</v>
      </c>
      <c r="K1029">
        <v>13</v>
      </c>
      <c r="L1029">
        <v>14</v>
      </c>
      <c r="M1029" t="s">
        <v>19</v>
      </c>
      <c r="N1029">
        <f t="shared" si="32"/>
        <v>25.5</v>
      </c>
      <c r="O1029" t="b">
        <f t="shared" si="33"/>
        <v>1</v>
      </c>
    </row>
    <row r="1030" spans="1:15">
      <c r="A1030" t="s">
        <v>1205</v>
      </c>
      <c r="B1030" s="2">
        <v>46074</v>
      </c>
      <c r="C1030" t="s">
        <v>169</v>
      </c>
      <c r="D1030" t="s">
        <v>35</v>
      </c>
      <c r="E1030" t="s">
        <v>22</v>
      </c>
      <c r="F1030" t="s">
        <v>23</v>
      </c>
      <c r="G1030">
        <v>1</v>
      </c>
      <c r="H1030" s="3">
        <v>3.1</v>
      </c>
      <c r="I1030" s="3">
        <v>3.1</v>
      </c>
      <c r="J1030" t="s">
        <v>27</v>
      </c>
      <c r="K1030">
        <v>1</v>
      </c>
      <c r="L1030">
        <v>2</v>
      </c>
      <c r="M1030" t="s">
        <v>19</v>
      </c>
      <c r="N1030">
        <f t="shared" si="32"/>
        <v>3.1</v>
      </c>
      <c r="O1030" t="b">
        <f t="shared" si="33"/>
        <v>1</v>
      </c>
    </row>
    <row r="1031" spans="1:15">
      <c r="A1031" t="s">
        <v>1206</v>
      </c>
      <c r="B1031" s="2">
        <v>46151</v>
      </c>
      <c r="C1031" t="s">
        <v>77</v>
      </c>
      <c r="D1031" t="s">
        <v>15</v>
      </c>
      <c r="E1031" t="s">
        <v>126</v>
      </c>
      <c r="F1031" t="s">
        <v>31</v>
      </c>
      <c r="G1031">
        <v>1</v>
      </c>
      <c r="H1031" s="3">
        <v>7.95</v>
      </c>
      <c r="I1031" s="3">
        <v>7.95</v>
      </c>
      <c r="J1031" t="s">
        <v>32</v>
      </c>
      <c r="K1031">
        <v>18</v>
      </c>
      <c r="L1031">
        <v>23</v>
      </c>
      <c r="M1031" t="s">
        <v>19</v>
      </c>
      <c r="N1031">
        <f t="shared" si="32"/>
        <v>7.95</v>
      </c>
      <c r="O1031" t="b">
        <f t="shared" si="33"/>
        <v>1</v>
      </c>
    </row>
    <row r="1032" spans="1:15">
      <c r="A1032" t="s">
        <v>1207</v>
      </c>
      <c r="B1032" s="2">
        <v>46078</v>
      </c>
      <c r="C1032" t="s">
        <v>49</v>
      </c>
      <c r="D1032" t="s">
        <v>35</v>
      </c>
      <c r="E1032" t="s">
        <v>106</v>
      </c>
      <c r="F1032" t="s">
        <v>17</v>
      </c>
      <c r="G1032">
        <v>1</v>
      </c>
      <c r="H1032" s="3">
        <v>15.95</v>
      </c>
      <c r="I1032" s="3">
        <v>0</v>
      </c>
      <c r="J1032" t="s">
        <v>18</v>
      </c>
      <c r="K1032">
        <v>28</v>
      </c>
      <c r="L1032">
        <v>14</v>
      </c>
      <c r="M1032" t="s">
        <v>152</v>
      </c>
      <c r="N1032">
        <f t="shared" si="32"/>
        <v>15.95</v>
      </c>
      <c r="O1032" t="b">
        <f t="shared" si="33"/>
        <v>1</v>
      </c>
    </row>
    <row r="1033" spans="1:15">
      <c r="A1033" t="s">
        <v>1208</v>
      </c>
      <c r="B1033" s="2">
        <v>46079</v>
      </c>
      <c r="C1033" t="s">
        <v>625</v>
      </c>
      <c r="D1033" t="s">
        <v>15</v>
      </c>
      <c r="E1033" t="s">
        <v>46</v>
      </c>
      <c r="F1033" t="s">
        <v>47</v>
      </c>
      <c r="G1033">
        <v>1</v>
      </c>
      <c r="H1033" s="3">
        <v>6.95</v>
      </c>
      <c r="I1033" s="3">
        <v>6.95</v>
      </c>
      <c r="J1033" t="s">
        <v>27</v>
      </c>
      <c r="K1033">
        <v>29</v>
      </c>
      <c r="L1033">
        <v>18</v>
      </c>
      <c r="M1033" t="s">
        <v>19</v>
      </c>
      <c r="N1033">
        <f t="shared" si="32"/>
        <v>6.95</v>
      </c>
      <c r="O1033" t="b">
        <f t="shared" si="33"/>
        <v>1</v>
      </c>
    </row>
    <row r="1034" spans="1:15">
      <c r="A1034" t="s">
        <v>1209</v>
      </c>
      <c r="B1034" s="2">
        <v>46124</v>
      </c>
      <c r="C1034" t="s">
        <v>105</v>
      </c>
      <c r="D1034" t="s">
        <v>35</v>
      </c>
      <c r="E1034" t="s">
        <v>59</v>
      </c>
      <c r="F1034" t="s">
        <v>17</v>
      </c>
      <c r="G1034">
        <v>1</v>
      </c>
      <c r="H1034" s="3">
        <v>11.95</v>
      </c>
      <c r="I1034" s="3">
        <v>11.95</v>
      </c>
      <c r="J1034" t="s">
        <v>27</v>
      </c>
      <c r="K1034">
        <v>5</v>
      </c>
      <c r="L1034">
        <v>10</v>
      </c>
      <c r="M1034" t="s">
        <v>19</v>
      </c>
      <c r="N1034">
        <f t="shared" si="32"/>
        <v>11.95</v>
      </c>
      <c r="O1034" t="b">
        <f t="shared" si="33"/>
        <v>1</v>
      </c>
    </row>
    <row r="1035" spans="1:15">
      <c r="A1035" t="s">
        <v>1210</v>
      </c>
      <c r="B1035" s="2">
        <v>46227</v>
      </c>
      <c r="C1035" t="s">
        <v>55</v>
      </c>
      <c r="D1035" t="s">
        <v>35</v>
      </c>
      <c r="E1035" t="s">
        <v>50</v>
      </c>
      <c r="F1035" t="s">
        <v>17</v>
      </c>
      <c r="G1035">
        <v>1</v>
      </c>
      <c r="H1035" s="3">
        <v>14.5</v>
      </c>
      <c r="I1035" s="3">
        <v>14.5</v>
      </c>
      <c r="J1035" t="s">
        <v>27</v>
      </c>
      <c r="K1035">
        <v>26</v>
      </c>
      <c r="L1035">
        <v>20</v>
      </c>
      <c r="M1035" t="s">
        <v>19</v>
      </c>
      <c r="N1035">
        <f t="shared" si="32"/>
        <v>14.5</v>
      </c>
      <c r="O1035" t="b">
        <f t="shared" si="33"/>
        <v>1</v>
      </c>
    </row>
    <row r="1036" spans="1:15">
      <c r="A1036" t="s">
        <v>1211</v>
      </c>
      <c r="B1036" s="2">
        <v>46102</v>
      </c>
      <c r="C1036" t="s">
        <v>154</v>
      </c>
      <c r="D1036" t="s">
        <v>15</v>
      </c>
      <c r="E1036" t="s">
        <v>16</v>
      </c>
      <c r="F1036" t="s">
        <v>17</v>
      </c>
      <c r="G1036">
        <v>1</v>
      </c>
      <c r="H1036" s="3">
        <v>9.9499999999999993</v>
      </c>
      <c r="I1036" s="3">
        <v>9.9499999999999993</v>
      </c>
      <c r="J1036" t="s">
        <v>18</v>
      </c>
      <c r="K1036">
        <v>1</v>
      </c>
      <c r="L1036">
        <v>8</v>
      </c>
      <c r="M1036" t="s">
        <v>19</v>
      </c>
      <c r="N1036">
        <f t="shared" si="32"/>
        <v>9.9499999999999993</v>
      </c>
      <c r="O1036" t="b">
        <f t="shared" si="33"/>
        <v>1</v>
      </c>
    </row>
    <row r="1037" spans="1:15">
      <c r="A1037" t="s">
        <v>1212</v>
      </c>
      <c r="B1037" s="2">
        <v>46171</v>
      </c>
      <c r="C1037" t="s">
        <v>352</v>
      </c>
      <c r="D1037" t="s">
        <v>15</v>
      </c>
      <c r="E1037" t="s">
        <v>16</v>
      </c>
      <c r="F1037" t="s">
        <v>17</v>
      </c>
      <c r="G1037">
        <v>2</v>
      </c>
      <c r="H1037" s="3">
        <v>9.9499999999999993</v>
      </c>
      <c r="I1037" s="3">
        <v>19.899999999999999</v>
      </c>
      <c r="J1037" t="s">
        <v>27</v>
      </c>
      <c r="K1037">
        <v>17</v>
      </c>
      <c r="L1037">
        <v>19</v>
      </c>
      <c r="M1037" t="s">
        <v>19</v>
      </c>
      <c r="N1037">
        <f t="shared" si="32"/>
        <v>19.899999999999999</v>
      </c>
      <c r="O1037" t="b">
        <f t="shared" si="33"/>
        <v>1</v>
      </c>
    </row>
    <row r="1038" spans="1:15">
      <c r="A1038" t="s">
        <v>1213</v>
      </c>
      <c r="B1038" s="2">
        <v>46166</v>
      </c>
      <c r="C1038" t="s">
        <v>551</v>
      </c>
      <c r="D1038" t="s">
        <v>35</v>
      </c>
      <c r="E1038" t="s">
        <v>16</v>
      </c>
      <c r="F1038" t="s">
        <v>17</v>
      </c>
      <c r="G1038">
        <v>2</v>
      </c>
      <c r="H1038" s="3">
        <v>9.9499999999999993</v>
      </c>
      <c r="I1038" s="3">
        <v>19.899999999999999</v>
      </c>
      <c r="J1038" t="s">
        <v>27</v>
      </c>
      <c r="K1038">
        <v>26</v>
      </c>
      <c r="L1038">
        <v>22</v>
      </c>
      <c r="M1038" t="s">
        <v>19</v>
      </c>
      <c r="N1038">
        <f t="shared" si="32"/>
        <v>19.899999999999999</v>
      </c>
      <c r="O1038" t="b">
        <f t="shared" si="33"/>
        <v>1</v>
      </c>
    </row>
    <row r="1039" spans="1:15">
      <c r="A1039" t="s">
        <v>1214</v>
      </c>
      <c r="B1039" s="2">
        <v>46280</v>
      </c>
      <c r="C1039" t="s">
        <v>210</v>
      </c>
      <c r="D1039" t="s">
        <v>35</v>
      </c>
      <c r="E1039" t="s">
        <v>50</v>
      </c>
      <c r="F1039" t="s">
        <v>17</v>
      </c>
      <c r="G1039">
        <v>1</v>
      </c>
      <c r="H1039" s="3">
        <v>14.5</v>
      </c>
      <c r="I1039" s="3">
        <v>14.5</v>
      </c>
      <c r="J1039" t="s">
        <v>27</v>
      </c>
      <c r="K1039">
        <v>13</v>
      </c>
      <c r="L1039">
        <v>28</v>
      </c>
      <c r="M1039" t="s">
        <v>19</v>
      </c>
      <c r="N1039">
        <f t="shared" si="32"/>
        <v>14.5</v>
      </c>
      <c r="O1039" t="b">
        <f t="shared" si="33"/>
        <v>1</v>
      </c>
    </row>
    <row r="1040" spans="1:15">
      <c r="A1040" t="s">
        <v>1215</v>
      </c>
      <c r="B1040" s="2">
        <v>46121</v>
      </c>
      <c r="C1040" t="s">
        <v>66</v>
      </c>
      <c r="D1040" t="s">
        <v>35</v>
      </c>
      <c r="E1040" t="s">
        <v>56</v>
      </c>
      <c r="F1040" t="s">
        <v>23</v>
      </c>
      <c r="G1040">
        <v>1</v>
      </c>
      <c r="H1040" s="3">
        <v>3.75</v>
      </c>
      <c r="I1040" s="3">
        <v>3.75</v>
      </c>
      <c r="J1040" t="s">
        <v>18</v>
      </c>
      <c r="K1040">
        <v>23</v>
      </c>
      <c r="L1040">
        <v>7</v>
      </c>
      <c r="M1040" t="s">
        <v>19</v>
      </c>
      <c r="N1040">
        <f t="shared" si="32"/>
        <v>3.75</v>
      </c>
      <c r="O1040" t="b">
        <f t="shared" si="33"/>
        <v>1</v>
      </c>
    </row>
    <row r="1041" spans="1:15">
      <c r="A1041" t="s">
        <v>1216</v>
      </c>
      <c r="B1041" s="2">
        <v>46141</v>
      </c>
      <c r="C1041" t="s">
        <v>385</v>
      </c>
      <c r="D1041" t="s">
        <v>15</v>
      </c>
      <c r="E1041" t="s">
        <v>83</v>
      </c>
      <c r="F1041" t="s">
        <v>17</v>
      </c>
      <c r="G1041">
        <v>1</v>
      </c>
      <c r="H1041" s="3">
        <v>13.5</v>
      </c>
      <c r="I1041" s="3">
        <v>13.5</v>
      </c>
      <c r="J1041" t="s">
        <v>27</v>
      </c>
      <c r="K1041">
        <v>2</v>
      </c>
      <c r="L1041">
        <v>20</v>
      </c>
      <c r="M1041" t="s">
        <v>19</v>
      </c>
      <c r="N1041">
        <f t="shared" si="32"/>
        <v>13.5</v>
      </c>
      <c r="O1041" t="b">
        <f t="shared" si="33"/>
        <v>1</v>
      </c>
    </row>
    <row r="1042" spans="1:15">
      <c r="A1042" t="s">
        <v>1217</v>
      </c>
      <c r="B1042" s="2">
        <v>46160</v>
      </c>
      <c r="C1042" t="s">
        <v>328</v>
      </c>
      <c r="D1042" t="s">
        <v>15</v>
      </c>
      <c r="E1042" t="s">
        <v>78</v>
      </c>
      <c r="F1042" t="s">
        <v>47</v>
      </c>
      <c r="G1042">
        <v>1</v>
      </c>
      <c r="H1042" s="3">
        <v>7.25</v>
      </c>
      <c r="I1042" s="3">
        <v>7.25</v>
      </c>
      <c r="J1042" t="s">
        <v>18</v>
      </c>
      <c r="K1042">
        <v>22</v>
      </c>
      <c r="L1042">
        <v>16</v>
      </c>
      <c r="M1042" t="s">
        <v>19</v>
      </c>
      <c r="N1042">
        <f t="shared" si="32"/>
        <v>7.25</v>
      </c>
      <c r="O1042" t="b">
        <f t="shared" si="33"/>
        <v>1</v>
      </c>
    </row>
    <row r="1043" spans="1:15">
      <c r="A1043" t="s">
        <v>1218</v>
      </c>
      <c r="B1043" s="2">
        <v>46131</v>
      </c>
      <c r="C1043" t="s">
        <v>295</v>
      </c>
      <c r="D1043" t="s">
        <v>15</v>
      </c>
      <c r="E1043" t="s">
        <v>59</v>
      </c>
      <c r="F1043" t="s">
        <v>17</v>
      </c>
      <c r="G1043">
        <v>1</v>
      </c>
      <c r="H1043" s="3">
        <v>11.95</v>
      </c>
      <c r="I1043" s="3">
        <v>11.95</v>
      </c>
      <c r="J1043" t="s">
        <v>18</v>
      </c>
      <c r="K1043">
        <v>16</v>
      </c>
      <c r="L1043">
        <v>16</v>
      </c>
      <c r="M1043" t="s">
        <v>19</v>
      </c>
      <c r="N1043">
        <f t="shared" si="32"/>
        <v>11.95</v>
      </c>
      <c r="O1043" t="b">
        <f t="shared" si="33"/>
        <v>1</v>
      </c>
    </row>
    <row r="1044" spans="1:15">
      <c r="A1044" t="s">
        <v>1219</v>
      </c>
      <c r="B1044" s="2">
        <v>46178</v>
      </c>
      <c r="C1044" t="s">
        <v>154</v>
      </c>
      <c r="D1044" t="s">
        <v>15</v>
      </c>
      <c r="E1044" t="s">
        <v>36</v>
      </c>
      <c r="F1044" t="s">
        <v>23</v>
      </c>
      <c r="G1044">
        <v>2</v>
      </c>
      <c r="H1044" s="3">
        <v>2.8</v>
      </c>
      <c r="I1044" s="3">
        <v>5.6</v>
      </c>
      <c r="J1044" t="s">
        <v>18</v>
      </c>
      <c r="K1044">
        <v>12</v>
      </c>
      <c r="L1044">
        <v>4</v>
      </c>
      <c r="M1044" t="s">
        <v>19</v>
      </c>
      <c r="N1044">
        <f t="shared" si="32"/>
        <v>5.6</v>
      </c>
      <c r="O1044" t="b">
        <f t="shared" si="33"/>
        <v>1</v>
      </c>
    </row>
    <row r="1045" spans="1:15">
      <c r="A1045" t="s">
        <v>1220</v>
      </c>
      <c r="B1045" s="2">
        <v>46293</v>
      </c>
      <c r="C1045" t="s">
        <v>110</v>
      </c>
      <c r="D1045" t="s">
        <v>35</v>
      </c>
      <c r="E1045" t="s">
        <v>41</v>
      </c>
      <c r="F1045" t="s">
        <v>31</v>
      </c>
      <c r="G1045">
        <v>1</v>
      </c>
      <c r="H1045" s="3">
        <v>5.5</v>
      </c>
      <c r="I1045" s="3">
        <v>5.5</v>
      </c>
      <c r="J1045" t="s">
        <v>53</v>
      </c>
      <c r="K1045">
        <v>3</v>
      </c>
      <c r="L1045">
        <v>28</v>
      </c>
      <c r="M1045" t="s">
        <v>19</v>
      </c>
      <c r="N1045">
        <f t="shared" si="32"/>
        <v>5.5</v>
      </c>
      <c r="O1045" t="b">
        <f t="shared" si="33"/>
        <v>1</v>
      </c>
    </row>
    <row r="1046" spans="1:15">
      <c r="A1046" t="s">
        <v>1221</v>
      </c>
      <c r="B1046" s="2">
        <v>46089</v>
      </c>
      <c r="C1046" t="s">
        <v>82</v>
      </c>
      <c r="D1046" t="s">
        <v>35</v>
      </c>
      <c r="E1046" t="s">
        <v>83</v>
      </c>
      <c r="F1046" t="s">
        <v>17</v>
      </c>
      <c r="G1046">
        <v>2</v>
      </c>
      <c r="H1046" s="3">
        <v>13.5</v>
      </c>
      <c r="I1046" s="3">
        <v>27</v>
      </c>
      <c r="J1046" t="s">
        <v>53</v>
      </c>
      <c r="K1046">
        <v>15</v>
      </c>
      <c r="L1046">
        <v>21</v>
      </c>
      <c r="M1046" t="s">
        <v>19</v>
      </c>
      <c r="N1046">
        <f t="shared" si="32"/>
        <v>27</v>
      </c>
      <c r="O1046" t="b">
        <f t="shared" si="33"/>
        <v>1</v>
      </c>
    </row>
    <row r="1047" spans="1:15">
      <c r="A1047" t="s">
        <v>1222</v>
      </c>
      <c r="B1047" s="2">
        <v>46061</v>
      </c>
      <c r="C1047" t="s">
        <v>519</v>
      </c>
      <c r="D1047" t="s">
        <v>35</v>
      </c>
      <c r="E1047" t="s">
        <v>126</v>
      </c>
      <c r="F1047" t="s">
        <v>31</v>
      </c>
      <c r="G1047">
        <v>2</v>
      </c>
      <c r="H1047" s="3">
        <v>7.95</v>
      </c>
      <c r="I1047" s="3">
        <v>-15.9</v>
      </c>
      <c r="J1047" t="s">
        <v>18</v>
      </c>
      <c r="K1047">
        <v>7</v>
      </c>
      <c r="L1047">
        <v>16</v>
      </c>
      <c r="M1047" t="s">
        <v>62</v>
      </c>
      <c r="N1047">
        <f t="shared" si="32"/>
        <v>15.9</v>
      </c>
      <c r="O1047" t="b">
        <f t="shared" si="33"/>
        <v>1</v>
      </c>
    </row>
    <row r="1048" spans="1:15">
      <c r="A1048" t="s">
        <v>1223</v>
      </c>
      <c r="B1048" s="2">
        <v>46101</v>
      </c>
      <c r="C1048" t="s">
        <v>429</v>
      </c>
      <c r="D1048" t="s">
        <v>15</v>
      </c>
      <c r="E1048" t="s">
        <v>36</v>
      </c>
      <c r="F1048" t="s">
        <v>23</v>
      </c>
      <c r="G1048">
        <v>2</v>
      </c>
      <c r="H1048" s="3">
        <v>2.8</v>
      </c>
      <c r="I1048" s="3">
        <v>-5.6</v>
      </c>
      <c r="J1048" t="s">
        <v>53</v>
      </c>
      <c r="K1048">
        <v>12</v>
      </c>
      <c r="L1048">
        <v>16</v>
      </c>
      <c r="M1048" t="s">
        <v>62</v>
      </c>
      <c r="N1048">
        <f t="shared" si="32"/>
        <v>5.6</v>
      </c>
      <c r="O1048" t="b">
        <f t="shared" si="33"/>
        <v>1</v>
      </c>
    </row>
    <row r="1049" spans="1:15">
      <c r="A1049" t="s">
        <v>1224</v>
      </c>
      <c r="B1049" s="2">
        <v>46252</v>
      </c>
      <c r="C1049" t="s">
        <v>297</v>
      </c>
      <c r="D1049" t="s">
        <v>35</v>
      </c>
      <c r="E1049" t="s">
        <v>39</v>
      </c>
      <c r="F1049" t="s">
        <v>17</v>
      </c>
      <c r="G1049">
        <v>1</v>
      </c>
      <c r="H1049" s="3">
        <v>12.95</v>
      </c>
      <c r="I1049" s="3">
        <v>12.95</v>
      </c>
      <c r="J1049" t="s">
        <v>53</v>
      </c>
      <c r="K1049">
        <v>30</v>
      </c>
      <c r="L1049">
        <v>9</v>
      </c>
      <c r="M1049" t="s">
        <v>19</v>
      </c>
      <c r="N1049">
        <f t="shared" si="32"/>
        <v>12.95</v>
      </c>
      <c r="O1049" t="b">
        <f t="shared" si="33"/>
        <v>1</v>
      </c>
    </row>
    <row r="1050" spans="1:15">
      <c r="A1050" t="s">
        <v>1225</v>
      </c>
      <c r="B1050" s="2">
        <v>46034</v>
      </c>
      <c r="C1050" t="s">
        <v>328</v>
      </c>
      <c r="D1050" t="s">
        <v>15</v>
      </c>
      <c r="E1050" t="s">
        <v>50</v>
      </c>
      <c r="F1050" t="s">
        <v>17</v>
      </c>
      <c r="G1050">
        <v>1</v>
      </c>
      <c r="H1050" s="3">
        <v>14.5</v>
      </c>
      <c r="I1050" s="3">
        <v>14.5</v>
      </c>
      <c r="J1050" t="s">
        <v>18</v>
      </c>
      <c r="K1050">
        <v>7</v>
      </c>
      <c r="L1050">
        <v>30</v>
      </c>
      <c r="M1050" t="s">
        <v>19</v>
      </c>
      <c r="N1050">
        <f t="shared" si="32"/>
        <v>14.5</v>
      </c>
      <c r="O1050" t="b">
        <f t="shared" si="33"/>
        <v>1</v>
      </c>
    </row>
    <row r="1051" spans="1:15">
      <c r="A1051" t="s">
        <v>1226</v>
      </c>
      <c r="B1051" s="2">
        <v>46226</v>
      </c>
      <c r="C1051" t="s">
        <v>254</v>
      </c>
      <c r="D1051" t="s">
        <v>35</v>
      </c>
      <c r="E1051" t="s">
        <v>39</v>
      </c>
      <c r="F1051" t="s">
        <v>17</v>
      </c>
      <c r="G1051">
        <v>1</v>
      </c>
      <c r="H1051" s="3">
        <v>12.95</v>
      </c>
      <c r="I1051" s="3">
        <v>0</v>
      </c>
      <c r="J1051" t="s">
        <v>18</v>
      </c>
      <c r="K1051">
        <v>17</v>
      </c>
      <c r="L1051">
        <v>25</v>
      </c>
      <c r="M1051" t="s">
        <v>152</v>
      </c>
      <c r="N1051">
        <f t="shared" si="32"/>
        <v>12.95</v>
      </c>
      <c r="O1051" t="b">
        <f t="shared" si="33"/>
        <v>1</v>
      </c>
    </row>
    <row r="1052" spans="1:15">
      <c r="A1052" t="s">
        <v>1227</v>
      </c>
      <c r="B1052" s="2">
        <v>46222</v>
      </c>
      <c r="C1052" t="s">
        <v>228</v>
      </c>
      <c r="D1052" t="s">
        <v>35</v>
      </c>
      <c r="E1052" t="s">
        <v>106</v>
      </c>
      <c r="F1052" t="s">
        <v>17</v>
      </c>
      <c r="G1052">
        <v>1</v>
      </c>
      <c r="H1052" s="3">
        <v>15.95</v>
      </c>
      <c r="I1052" s="3">
        <v>15.95</v>
      </c>
      <c r="J1052" t="s">
        <v>53</v>
      </c>
      <c r="K1052">
        <v>29</v>
      </c>
      <c r="L1052">
        <v>21</v>
      </c>
      <c r="M1052" t="s">
        <v>19</v>
      </c>
      <c r="N1052">
        <f t="shared" si="32"/>
        <v>15.95</v>
      </c>
      <c r="O1052" t="b">
        <f t="shared" si="33"/>
        <v>1</v>
      </c>
    </row>
    <row r="1053" spans="1:15">
      <c r="A1053" t="s">
        <v>1228</v>
      </c>
      <c r="B1053" s="2">
        <v>46285</v>
      </c>
      <c r="C1053" t="s">
        <v>615</v>
      </c>
      <c r="D1053" t="s">
        <v>35</v>
      </c>
      <c r="E1053" t="s">
        <v>22</v>
      </c>
      <c r="F1053" t="s">
        <v>23</v>
      </c>
      <c r="G1053">
        <v>1</v>
      </c>
      <c r="H1053" s="3">
        <v>3.1</v>
      </c>
      <c r="I1053" s="3">
        <v>3.1</v>
      </c>
      <c r="J1053" t="s">
        <v>18</v>
      </c>
      <c r="K1053">
        <v>10</v>
      </c>
      <c r="L1053">
        <v>22</v>
      </c>
      <c r="M1053" t="s">
        <v>19</v>
      </c>
      <c r="N1053">
        <f t="shared" si="32"/>
        <v>3.1</v>
      </c>
      <c r="O1053" t="b">
        <f t="shared" si="33"/>
        <v>1</v>
      </c>
    </row>
    <row r="1054" spans="1:15">
      <c r="A1054" t="s">
        <v>1229</v>
      </c>
      <c r="B1054" s="2">
        <v>46083</v>
      </c>
      <c r="C1054" t="s">
        <v>178</v>
      </c>
      <c r="D1054" t="s">
        <v>15</v>
      </c>
      <c r="E1054" t="s">
        <v>16</v>
      </c>
      <c r="F1054" t="s">
        <v>17</v>
      </c>
      <c r="G1054">
        <v>1</v>
      </c>
      <c r="H1054" s="3">
        <v>9.9499999999999993</v>
      </c>
      <c r="I1054" s="3">
        <v>9.9499999999999993</v>
      </c>
      <c r="J1054" t="s">
        <v>27</v>
      </c>
      <c r="K1054">
        <v>30</v>
      </c>
      <c r="L1054">
        <v>23</v>
      </c>
      <c r="M1054" t="s">
        <v>19</v>
      </c>
      <c r="N1054">
        <f t="shared" si="32"/>
        <v>9.9499999999999993</v>
      </c>
      <c r="O1054" t="b">
        <f t="shared" si="33"/>
        <v>1</v>
      </c>
    </row>
    <row r="1055" spans="1:15">
      <c r="A1055" t="s">
        <v>1230</v>
      </c>
      <c r="B1055" s="2">
        <v>46049</v>
      </c>
      <c r="C1055" t="s">
        <v>116</v>
      </c>
      <c r="D1055" t="s">
        <v>35</v>
      </c>
      <c r="E1055" t="s">
        <v>36</v>
      </c>
      <c r="F1055" t="s">
        <v>23</v>
      </c>
      <c r="G1055">
        <v>1</v>
      </c>
      <c r="H1055" s="3">
        <v>2.8</v>
      </c>
      <c r="I1055" s="3">
        <v>2.8</v>
      </c>
      <c r="J1055" t="s">
        <v>18</v>
      </c>
      <c r="K1055">
        <v>12</v>
      </c>
      <c r="L1055">
        <v>22</v>
      </c>
      <c r="M1055" t="s">
        <v>19</v>
      </c>
      <c r="N1055">
        <f t="shared" si="32"/>
        <v>2.8</v>
      </c>
      <c r="O1055" t="b">
        <f t="shared" si="33"/>
        <v>1</v>
      </c>
    </row>
    <row r="1056" spans="1:15">
      <c r="A1056" t="s">
        <v>1231</v>
      </c>
      <c r="B1056" s="2">
        <v>46211</v>
      </c>
      <c r="C1056" t="s">
        <v>25</v>
      </c>
      <c r="D1056" t="s">
        <v>15</v>
      </c>
      <c r="E1056" t="s">
        <v>50</v>
      </c>
      <c r="F1056" t="s">
        <v>17</v>
      </c>
      <c r="G1056">
        <v>1</v>
      </c>
      <c r="H1056" s="3">
        <v>14.5</v>
      </c>
      <c r="I1056" s="3">
        <v>14.5</v>
      </c>
      <c r="J1056" t="s">
        <v>32</v>
      </c>
      <c r="K1056">
        <v>21</v>
      </c>
      <c r="L1056">
        <v>11</v>
      </c>
      <c r="M1056" t="s">
        <v>19</v>
      </c>
      <c r="N1056">
        <f t="shared" si="32"/>
        <v>14.5</v>
      </c>
      <c r="O1056" t="b">
        <f t="shared" si="33"/>
        <v>1</v>
      </c>
    </row>
    <row r="1057" spans="1:15">
      <c r="A1057" t="s">
        <v>1232</v>
      </c>
      <c r="B1057" s="2">
        <v>46205</v>
      </c>
      <c r="C1057" t="s">
        <v>258</v>
      </c>
      <c r="D1057" t="s">
        <v>15</v>
      </c>
      <c r="E1057" t="s">
        <v>41</v>
      </c>
      <c r="F1057" t="s">
        <v>31</v>
      </c>
      <c r="G1057">
        <v>4</v>
      </c>
      <c r="H1057" s="3">
        <v>5.5</v>
      </c>
      <c r="I1057" s="3">
        <v>22</v>
      </c>
      <c r="J1057" t="s">
        <v>53</v>
      </c>
      <c r="K1057">
        <v>22</v>
      </c>
      <c r="L1057">
        <v>32</v>
      </c>
      <c r="M1057" t="s">
        <v>19</v>
      </c>
      <c r="N1057">
        <f t="shared" si="32"/>
        <v>22</v>
      </c>
      <c r="O1057" t="b">
        <f t="shared" si="33"/>
        <v>1</v>
      </c>
    </row>
    <row r="1058" spans="1:15">
      <c r="A1058" t="s">
        <v>1233</v>
      </c>
      <c r="B1058" s="2">
        <v>46077</v>
      </c>
      <c r="C1058" t="s">
        <v>55</v>
      </c>
      <c r="D1058" t="s">
        <v>35</v>
      </c>
      <c r="E1058" t="s">
        <v>41</v>
      </c>
      <c r="F1058" t="s">
        <v>31</v>
      </c>
      <c r="G1058">
        <v>2</v>
      </c>
      <c r="H1058" s="3">
        <v>5.5</v>
      </c>
      <c r="I1058" s="3">
        <v>11</v>
      </c>
      <c r="J1058" t="s">
        <v>27</v>
      </c>
      <c r="K1058">
        <v>15</v>
      </c>
      <c r="L1058">
        <v>16</v>
      </c>
      <c r="M1058" t="s">
        <v>19</v>
      </c>
      <c r="N1058">
        <f t="shared" si="32"/>
        <v>11</v>
      </c>
      <c r="O1058" t="b">
        <f t="shared" si="33"/>
        <v>1</v>
      </c>
    </row>
    <row r="1059" spans="1:15">
      <c r="A1059" t="s">
        <v>1234</v>
      </c>
      <c r="B1059" s="2">
        <v>46160</v>
      </c>
      <c r="C1059" t="s">
        <v>150</v>
      </c>
      <c r="D1059" t="s">
        <v>15</v>
      </c>
      <c r="E1059" t="s">
        <v>96</v>
      </c>
      <c r="F1059" t="s">
        <v>47</v>
      </c>
      <c r="G1059">
        <v>1</v>
      </c>
      <c r="H1059" s="3">
        <v>5.75</v>
      </c>
      <c r="I1059" s="3">
        <v>5.75</v>
      </c>
      <c r="J1059" t="s">
        <v>18</v>
      </c>
      <c r="K1059">
        <v>14</v>
      </c>
      <c r="L1059">
        <v>13</v>
      </c>
      <c r="M1059" t="s">
        <v>19</v>
      </c>
      <c r="N1059">
        <f t="shared" si="32"/>
        <v>5.75</v>
      </c>
      <c r="O1059" t="b">
        <f t="shared" si="33"/>
        <v>1</v>
      </c>
    </row>
    <row r="1060" spans="1:15">
      <c r="A1060" t="s">
        <v>1235</v>
      </c>
      <c r="B1060" s="2">
        <v>46268</v>
      </c>
      <c r="C1060" t="s">
        <v>236</v>
      </c>
      <c r="D1060" t="s">
        <v>15</v>
      </c>
      <c r="E1060" t="s">
        <v>106</v>
      </c>
      <c r="F1060" t="s">
        <v>17</v>
      </c>
      <c r="G1060">
        <v>2</v>
      </c>
      <c r="H1060" s="3">
        <v>15.95</v>
      </c>
      <c r="I1060" s="3">
        <v>31.9</v>
      </c>
      <c r="J1060" t="s">
        <v>27</v>
      </c>
      <c r="K1060">
        <v>24</v>
      </c>
      <c r="L1060">
        <v>18</v>
      </c>
      <c r="M1060" t="s">
        <v>19</v>
      </c>
      <c r="N1060">
        <f t="shared" si="32"/>
        <v>31.9</v>
      </c>
      <c r="O1060" t="b">
        <f t="shared" si="33"/>
        <v>1</v>
      </c>
    </row>
    <row r="1061" spans="1:15">
      <c r="A1061" t="s">
        <v>1236</v>
      </c>
      <c r="B1061" s="2">
        <v>46167</v>
      </c>
      <c r="C1061" t="s">
        <v>512</v>
      </c>
      <c r="D1061" t="s">
        <v>15</v>
      </c>
      <c r="E1061" t="s">
        <v>46</v>
      </c>
      <c r="F1061" t="s">
        <v>47</v>
      </c>
      <c r="G1061">
        <v>2</v>
      </c>
      <c r="H1061" s="3">
        <v>6.95</v>
      </c>
      <c r="I1061" s="3">
        <v>13.9</v>
      </c>
      <c r="J1061" t="s">
        <v>27</v>
      </c>
      <c r="K1061">
        <v>3</v>
      </c>
      <c r="L1061">
        <v>22</v>
      </c>
      <c r="M1061" t="s">
        <v>19</v>
      </c>
      <c r="N1061">
        <f t="shared" si="32"/>
        <v>13.9</v>
      </c>
      <c r="O1061" t="b">
        <f t="shared" si="33"/>
        <v>1</v>
      </c>
    </row>
    <row r="1062" spans="1:15">
      <c r="A1062" t="s">
        <v>1237</v>
      </c>
      <c r="B1062" s="2">
        <v>46241</v>
      </c>
      <c r="C1062" t="s">
        <v>29</v>
      </c>
      <c r="D1062" t="s">
        <v>15</v>
      </c>
      <c r="E1062" t="s">
        <v>22</v>
      </c>
      <c r="F1062" t="s">
        <v>23</v>
      </c>
      <c r="G1062">
        <v>1</v>
      </c>
      <c r="H1062" s="3">
        <v>3.1</v>
      </c>
      <c r="I1062" s="3">
        <v>0</v>
      </c>
      <c r="J1062" t="s">
        <v>18</v>
      </c>
      <c r="K1062">
        <v>13</v>
      </c>
      <c r="L1062">
        <v>11</v>
      </c>
      <c r="M1062" t="s">
        <v>152</v>
      </c>
      <c r="N1062">
        <f t="shared" si="32"/>
        <v>3.1</v>
      </c>
      <c r="O1062" t="b">
        <f t="shared" si="33"/>
        <v>1</v>
      </c>
    </row>
    <row r="1063" spans="1:15">
      <c r="A1063" t="s">
        <v>1238</v>
      </c>
      <c r="B1063" s="2">
        <v>46079</v>
      </c>
      <c r="C1063" t="s">
        <v>366</v>
      </c>
      <c r="D1063" t="s">
        <v>35</v>
      </c>
      <c r="E1063" t="s">
        <v>50</v>
      </c>
      <c r="F1063" t="s">
        <v>17</v>
      </c>
      <c r="G1063">
        <v>1</v>
      </c>
      <c r="H1063" s="3">
        <v>14.5</v>
      </c>
      <c r="I1063" s="3">
        <v>14.5</v>
      </c>
      <c r="J1063" t="s">
        <v>27</v>
      </c>
      <c r="K1063">
        <v>9</v>
      </c>
      <c r="L1063">
        <v>12</v>
      </c>
      <c r="M1063" t="s">
        <v>19</v>
      </c>
      <c r="N1063">
        <f t="shared" si="32"/>
        <v>14.5</v>
      </c>
      <c r="O1063" t="b">
        <f t="shared" si="33"/>
        <v>1</v>
      </c>
    </row>
    <row r="1064" spans="1:15">
      <c r="A1064" t="s">
        <v>1239</v>
      </c>
      <c r="B1064" s="2">
        <v>46029</v>
      </c>
      <c r="C1064" t="s">
        <v>265</v>
      </c>
      <c r="D1064" t="s">
        <v>35</v>
      </c>
      <c r="E1064" t="s">
        <v>36</v>
      </c>
      <c r="F1064" t="s">
        <v>23</v>
      </c>
      <c r="G1064">
        <v>2</v>
      </c>
      <c r="H1064" s="3">
        <v>2.8</v>
      </c>
      <c r="I1064" s="3">
        <v>5.6</v>
      </c>
      <c r="J1064" t="s">
        <v>18</v>
      </c>
      <c r="K1064">
        <v>5</v>
      </c>
      <c r="L1064">
        <v>14</v>
      </c>
      <c r="M1064" t="s">
        <v>19</v>
      </c>
      <c r="N1064">
        <f t="shared" si="32"/>
        <v>5.6</v>
      </c>
      <c r="O1064" t="b">
        <f t="shared" si="33"/>
        <v>1</v>
      </c>
    </row>
    <row r="1065" spans="1:15">
      <c r="A1065" t="s">
        <v>1240</v>
      </c>
      <c r="B1065" s="2">
        <v>46250</v>
      </c>
      <c r="C1065" t="s">
        <v>118</v>
      </c>
      <c r="D1065" t="s">
        <v>35</v>
      </c>
      <c r="E1065" t="s">
        <v>103</v>
      </c>
      <c r="F1065" t="s">
        <v>23</v>
      </c>
      <c r="G1065">
        <v>1</v>
      </c>
      <c r="H1065" s="3">
        <v>3.25</v>
      </c>
      <c r="I1065" s="3">
        <v>3.25</v>
      </c>
      <c r="J1065" t="s">
        <v>18</v>
      </c>
      <c r="K1065">
        <v>18</v>
      </c>
      <c r="L1065">
        <v>10</v>
      </c>
      <c r="M1065" t="s">
        <v>19</v>
      </c>
      <c r="N1065">
        <f t="shared" si="32"/>
        <v>3.25</v>
      </c>
      <c r="O1065" t="b">
        <f t="shared" si="33"/>
        <v>1</v>
      </c>
    </row>
    <row r="1066" spans="1:15">
      <c r="A1066" t="s">
        <v>1241</v>
      </c>
      <c r="B1066" s="2">
        <v>46086</v>
      </c>
      <c r="C1066" t="s">
        <v>322</v>
      </c>
      <c r="D1066" t="s">
        <v>15</v>
      </c>
      <c r="E1066" t="s">
        <v>36</v>
      </c>
      <c r="F1066" t="s">
        <v>23</v>
      </c>
      <c r="G1066">
        <v>1</v>
      </c>
      <c r="H1066" s="3">
        <v>2.8</v>
      </c>
      <c r="I1066" s="3">
        <v>2.8</v>
      </c>
      <c r="J1066" t="s">
        <v>53</v>
      </c>
      <c r="K1066">
        <v>1</v>
      </c>
      <c r="L1066">
        <v>13</v>
      </c>
      <c r="M1066" t="s">
        <v>19</v>
      </c>
      <c r="N1066">
        <f t="shared" si="32"/>
        <v>2.8</v>
      </c>
      <c r="O1066" t="b">
        <f t="shared" si="33"/>
        <v>1</v>
      </c>
    </row>
    <row r="1067" spans="1:15">
      <c r="A1067" t="s">
        <v>1242</v>
      </c>
      <c r="B1067" s="2">
        <v>46035</v>
      </c>
      <c r="C1067" t="s">
        <v>150</v>
      </c>
      <c r="D1067" t="s">
        <v>15</v>
      </c>
      <c r="E1067" t="s">
        <v>30</v>
      </c>
      <c r="F1067" t="s">
        <v>31</v>
      </c>
      <c r="G1067">
        <v>2</v>
      </c>
      <c r="H1067" s="3">
        <v>8.5</v>
      </c>
      <c r="I1067" s="3">
        <v>17</v>
      </c>
      <c r="J1067" t="s">
        <v>53</v>
      </c>
      <c r="K1067">
        <v>30</v>
      </c>
      <c r="L1067">
        <v>11</v>
      </c>
      <c r="M1067" t="s">
        <v>19</v>
      </c>
      <c r="N1067">
        <f t="shared" si="32"/>
        <v>17</v>
      </c>
      <c r="O1067" t="b">
        <f t="shared" si="33"/>
        <v>1</v>
      </c>
    </row>
    <row r="1068" spans="1:15">
      <c r="A1068" t="s">
        <v>1243</v>
      </c>
      <c r="B1068" s="2">
        <v>46219</v>
      </c>
      <c r="C1068" t="s">
        <v>279</v>
      </c>
      <c r="D1068" t="s">
        <v>35</v>
      </c>
      <c r="E1068" t="s">
        <v>103</v>
      </c>
      <c r="F1068" t="s">
        <v>23</v>
      </c>
      <c r="G1068">
        <v>1</v>
      </c>
      <c r="H1068" s="3">
        <v>3.25</v>
      </c>
      <c r="I1068" s="3">
        <v>3.25</v>
      </c>
      <c r="J1068" t="s">
        <v>18</v>
      </c>
      <c r="K1068">
        <v>10</v>
      </c>
      <c r="L1068">
        <v>15</v>
      </c>
      <c r="M1068" t="s">
        <v>19</v>
      </c>
      <c r="N1068">
        <f t="shared" si="32"/>
        <v>3.25</v>
      </c>
      <c r="O1068" t="b">
        <f t="shared" si="33"/>
        <v>1</v>
      </c>
    </row>
    <row r="1069" spans="1:15">
      <c r="A1069" t="s">
        <v>1244</v>
      </c>
      <c r="B1069" s="2">
        <v>46193</v>
      </c>
      <c r="C1069" t="s">
        <v>251</v>
      </c>
      <c r="D1069" t="s">
        <v>15</v>
      </c>
      <c r="E1069" t="s">
        <v>56</v>
      </c>
      <c r="F1069" t="s">
        <v>23</v>
      </c>
      <c r="G1069">
        <v>1</v>
      </c>
      <c r="H1069" s="3">
        <v>3.75</v>
      </c>
      <c r="I1069" s="3">
        <v>3.75</v>
      </c>
      <c r="J1069" t="s">
        <v>27</v>
      </c>
      <c r="K1069">
        <v>17</v>
      </c>
      <c r="L1069">
        <v>23</v>
      </c>
      <c r="M1069" t="s">
        <v>19</v>
      </c>
      <c r="N1069">
        <f t="shared" si="32"/>
        <v>3.75</v>
      </c>
      <c r="O1069" t="b">
        <f t="shared" si="33"/>
        <v>1</v>
      </c>
    </row>
    <row r="1070" spans="1:15">
      <c r="A1070" t="s">
        <v>1245</v>
      </c>
      <c r="B1070" s="2">
        <v>46115</v>
      </c>
      <c r="C1070" t="s">
        <v>110</v>
      </c>
      <c r="D1070" t="s">
        <v>35</v>
      </c>
      <c r="E1070" t="s">
        <v>126</v>
      </c>
      <c r="F1070" t="s">
        <v>31</v>
      </c>
      <c r="G1070">
        <v>2</v>
      </c>
      <c r="H1070" s="3">
        <v>7.95</v>
      </c>
      <c r="I1070" s="3">
        <v>15.9</v>
      </c>
      <c r="J1070" t="s">
        <v>18</v>
      </c>
      <c r="K1070">
        <v>30</v>
      </c>
      <c r="L1070">
        <v>18</v>
      </c>
      <c r="M1070" t="s">
        <v>19</v>
      </c>
      <c r="N1070">
        <f t="shared" si="32"/>
        <v>15.9</v>
      </c>
      <c r="O1070" t="b">
        <f t="shared" si="33"/>
        <v>1</v>
      </c>
    </row>
    <row r="1071" spans="1:15">
      <c r="A1071" t="s">
        <v>1246</v>
      </c>
      <c r="B1071" s="2">
        <v>46211</v>
      </c>
      <c r="C1071" t="s">
        <v>279</v>
      </c>
      <c r="D1071" t="s">
        <v>35</v>
      </c>
      <c r="E1071" t="s">
        <v>26</v>
      </c>
      <c r="F1071" t="s">
        <v>17</v>
      </c>
      <c r="G1071">
        <v>2</v>
      </c>
      <c r="H1071" s="3">
        <v>11.5</v>
      </c>
      <c r="I1071" s="3">
        <v>23</v>
      </c>
      <c r="J1071" t="s">
        <v>18</v>
      </c>
      <c r="K1071">
        <v>25</v>
      </c>
      <c r="L1071">
        <v>22</v>
      </c>
      <c r="M1071" t="s">
        <v>19</v>
      </c>
      <c r="N1071">
        <f t="shared" si="32"/>
        <v>23</v>
      </c>
      <c r="O1071" t="b">
        <f t="shared" si="33"/>
        <v>1</v>
      </c>
    </row>
    <row r="1072" spans="1:15">
      <c r="A1072" t="s">
        <v>1247</v>
      </c>
      <c r="B1072" s="2">
        <v>46186</v>
      </c>
      <c r="C1072" t="s">
        <v>489</v>
      </c>
      <c r="D1072" t="s">
        <v>15</v>
      </c>
      <c r="E1072" t="s">
        <v>103</v>
      </c>
      <c r="F1072" t="s">
        <v>23</v>
      </c>
      <c r="G1072">
        <v>2</v>
      </c>
      <c r="H1072" s="3">
        <v>3.25</v>
      </c>
      <c r="I1072" s="3">
        <v>6.5</v>
      </c>
      <c r="J1072" t="s">
        <v>27</v>
      </c>
      <c r="K1072">
        <v>9</v>
      </c>
      <c r="L1072">
        <v>2</v>
      </c>
      <c r="M1072" t="s">
        <v>19</v>
      </c>
      <c r="N1072">
        <f t="shared" si="32"/>
        <v>6.5</v>
      </c>
      <c r="O1072" t="b">
        <f t="shared" si="33"/>
        <v>1</v>
      </c>
    </row>
    <row r="1073" spans="1:15">
      <c r="A1073" t="s">
        <v>1248</v>
      </c>
      <c r="B1073" s="2">
        <v>46188</v>
      </c>
      <c r="C1073" t="s">
        <v>91</v>
      </c>
      <c r="D1073" t="s">
        <v>35</v>
      </c>
      <c r="E1073" t="s">
        <v>30</v>
      </c>
      <c r="F1073" t="s">
        <v>31</v>
      </c>
      <c r="G1073">
        <v>1</v>
      </c>
      <c r="H1073" s="3">
        <v>8.5</v>
      </c>
      <c r="I1073" s="3">
        <v>8.5</v>
      </c>
      <c r="J1073" t="s">
        <v>18</v>
      </c>
      <c r="K1073">
        <v>16</v>
      </c>
      <c r="L1073">
        <v>12</v>
      </c>
      <c r="M1073" t="s">
        <v>19</v>
      </c>
      <c r="N1073">
        <f t="shared" si="32"/>
        <v>8.5</v>
      </c>
      <c r="O1073" t="b">
        <f t="shared" si="33"/>
        <v>1</v>
      </c>
    </row>
    <row r="1074" spans="1:15">
      <c r="A1074" t="s">
        <v>1249</v>
      </c>
      <c r="B1074" s="2">
        <v>46234</v>
      </c>
      <c r="C1074" t="s">
        <v>271</v>
      </c>
      <c r="D1074" t="s">
        <v>35</v>
      </c>
      <c r="E1074" t="s">
        <v>50</v>
      </c>
      <c r="F1074" t="s">
        <v>17</v>
      </c>
      <c r="G1074">
        <v>2</v>
      </c>
      <c r="H1074" s="3">
        <v>14.5</v>
      </c>
      <c r="I1074" s="3">
        <v>29</v>
      </c>
      <c r="J1074" t="s">
        <v>18</v>
      </c>
      <c r="K1074">
        <v>18</v>
      </c>
      <c r="L1074">
        <v>25</v>
      </c>
      <c r="M1074" t="s">
        <v>19</v>
      </c>
      <c r="N1074">
        <f t="shared" si="32"/>
        <v>29</v>
      </c>
      <c r="O1074" t="b">
        <f t="shared" si="33"/>
        <v>1</v>
      </c>
    </row>
    <row r="1075" spans="1:15">
      <c r="A1075" t="s">
        <v>1250</v>
      </c>
      <c r="B1075" s="2">
        <v>46275</v>
      </c>
      <c r="C1075" t="s">
        <v>91</v>
      </c>
      <c r="D1075" t="s">
        <v>35</v>
      </c>
      <c r="E1075" t="s">
        <v>39</v>
      </c>
      <c r="F1075" t="s">
        <v>17</v>
      </c>
      <c r="G1075">
        <v>2</v>
      </c>
      <c r="H1075" s="3">
        <v>12.95</v>
      </c>
      <c r="I1075" s="3">
        <v>25.9</v>
      </c>
      <c r="J1075" t="s">
        <v>18</v>
      </c>
      <c r="K1075">
        <v>17</v>
      </c>
      <c r="L1075">
        <v>17</v>
      </c>
      <c r="M1075" t="s">
        <v>19</v>
      </c>
      <c r="N1075">
        <f t="shared" si="32"/>
        <v>25.9</v>
      </c>
      <c r="O1075" t="b">
        <f t="shared" si="33"/>
        <v>1</v>
      </c>
    </row>
    <row r="1076" spans="1:15">
      <c r="A1076" t="s">
        <v>1251</v>
      </c>
      <c r="B1076" s="2">
        <v>46135</v>
      </c>
      <c r="C1076" t="s">
        <v>245</v>
      </c>
      <c r="D1076" t="s">
        <v>35</v>
      </c>
      <c r="E1076" t="s">
        <v>26</v>
      </c>
      <c r="F1076" t="s">
        <v>17</v>
      </c>
      <c r="G1076">
        <v>1</v>
      </c>
      <c r="H1076" s="3">
        <v>11.5</v>
      </c>
      <c r="I1076" s="3">
        <v>11.5</v>
      </c>
      <c r="J1076" t="s">
        <v>53</v>
      </c>
      <c r="K1076">
        <v>5</v>
      </c>
      <c r="L1076">
        <v>15</v>
      </c>
      <c r="M1076" t="s">
        <v>19</v>
      </c>
      <c r="N1076">
        <f t="shared" si="32"/>
        <v>11.5</v>
      </c>
      <c r="O1076" t="b">
        <f t="shared" si="33"/>
        <v>1</v>
      </c>
    </row>
    <row r="1077" spans="1:15">
      <c r="A1077" t="s">
        <v>1252</v>
      </c>
      <c r="B1077" s="2">
        <v>46053</v>
      </c>
      <c r="C1077" t="s">
        <v>120</v>
      </c>
      <c r="D1077" t="s">
        <v>35</v>
      </c>
      <c r="E1077" t="s">
        <v>126</v>
      </c>
      <c r="F1077" t="s">
        <v>31</v>
      </c>
      <c r="G1077">
        <v>1</v>
      </c>
      <c r="H1077" s="3">
        <v>7.95</v>
      </c>
      <c r="I1077" s="3">
        <v>7.95</v>
      </c>
      <c r="J1077" t="s">
        <v>53</v>
      </c>
      <c r="K1077">
        <v>30</v>
      </c>
      <c r="L1077">
        <v>25</v>
      </c>
      <c r="M1077" t="s">
        <v>19</v>
      </c>
      <c r="N1077">
        <f t="shared" si="32"/>
        <v>7.95</v>
      </c>
      <c r="O1077" t="b">
        <f t="shared" si="33"/>
        <v>1</v>
      </c>
    </row>
    <row r="1078" spans="1:15">
      <c r="A1078" t="s">
        <v>1253</v>
      </c>
      <c r="B1078" s="2">
        <v>46147</v>
      </c>
      <c r="C1078" t="s">
        <v>355</v>
      </c>
      <c r="D1078" t="s">
        <v>15</v>
      </c>
      <c r="E1078" t="s">
        <v>50</v>
      </c>
      <c r="F1078" t="s">
        <v>17</v>
      </c>
      <c r="G1078">
        <v>1</v>
      </c>
      <c r="H1078" s="3">
        <v>14.5</v>
      </c>
      <c r="I1078" s="3">
        <v>14.5</v>
      </c>
      <c r="J1078" t="s">
        <v>18</v>
      </c>
      <c r="K1078">
        <v>1</v>
      </c>
      <c r="L1078">
        <v>14</v>
      </c>
      <c r="M1078" t="s">
        <v>19</v>
      </c>
      <c r="N1078">
        <f t="shared" si="32"/>
        <v>14.5</v>
      </c>
      <c r="O1078" t="b">
        <f t="shared" si="33"/>
        <v>1</v>
      </c>
    </row>
    <row r="1079" spans="1:15">
      <c r="A1079" t="s">
        <v>1254</v>
      </c>
      <c r="B1079" s="2">
        <v>46240</v>
      </c>
      <c r="C1079" t="s">
        <v>154</v>
      </c>
      <c r="D1079" t="s">
        <v>15</v>
      </c>
      <c r="E1079" t="s">
        <v>121</v>
      </c>
      <c r="F1079" t="s">
        <v>23</v>
      </c>
      <c r="G1079">
        <v>1</v>
      </c>
      <c r="H1079" s="3">
        <v>6.5</v>
      </c>
      <c r="I1079" s="3">
        <v>6.5</v>
      </c>
      <c r="J1079" t="s">
        <v>27</v>
      </c>
      <c r="K1079">
        <v>28</v>
      </c>
      <c r="L1079">
        <v>3</v>
      </c>
      <c r="M1079" t="s">
        <v>19</v>
      </c>
      <c r="N1079">
        <f t="shared" si="32"/>
        <v>6.5</v>
      </c>
      <c r="O1079" t="b">
        <f t="shared" si="33"/>
        <v>1</v>
      </c>
    </row>
    <row r="1080" spans="1:15">
      <c r="A1080" t="s">
        <v>1255</v>
      </c>
      <c r="B1080" s="2">
        <v>46098</v>
      </c>
      <c r="C1080" t="s">
        <v>483</v>
      </c>
      <c r="D1080" t="s">
        <v>15</v>
      </c>
      <c r="E1080" t="s">
        <v>39</v>
      </c>
      <c r="F1080" t="s">
        <v>17</v>
      </c>
      <c r="G1080">
        <v>1</v>
      </c>
      <c r="H1080" s="3">
        <v>12.95</v>
      </c>
      <c r="I1080" s="3">
        <v>12.95</v>
      </c>
      <c r="J1080" t="s">
        <v>27</v>
      </c>
      <c r="K1080">
        <v>24</v>
      </c>
      <c r="L1080">
        <v>18</v>
      </c>
      <c r="M1080" t="s">
        <v>19</v>
      </c>
      <c r="N1080">
        <f t="shared" si="32"/>
        <v>12.95</v>
      </c>
      <c r="O1080" t="b">
        <f t="shared" si="33"/>
        <v>1</v>
      </c>
    </row>
    <row r="1081" spans="1:15">
      <c r="A1081" t="s">
        <v>1256</v>
      </c>
      <c r="B1081" s="2">
        <v>46293</v>
      </c>
      <c r="C1081" t="s">
        <v>541</v>
      </c>
      <c r="D1081" t="s">
        <v>35</v>
      </c>
      <c r="E1081" t="s">
        <v>78</v>
      </c>
      <c r="F1081" t="s">
        <v>47</v>
      </c>
      <c r="G1081">
        <v>2</v>
      </c>
      <c r="H1081" s="3">
        <v>7.25</v>
      </c>
      <c r="I1081" s="3">
        <v>14.5</v>
      </c>
      <c r="J1081" t="s">
        <v>18</v>
      </c>
      <c r="K1081">
        <v>26</v>
      </c>
      <c r="L1081">
        <v>23</v>
      </c>
      <c r="M1081" t="s">
        <v>19</v>
      </c>
      <c r="N1081">
        <f t="shared" si="32"/>
        <v>14.5</v>
      </c>
      <c r="O1081" t="b">
        <f t="shared" si="33"/>
        <v>1</v>
      </c>
    </row>
    <row r="1082" spans="1:15">
      <c r="A1082" t="s">
        <v>1257</v>
      </c>
      <c r="B1082" s="2">
        <v>46029</v>
      </c>
      <c r="C1082" t="s">
        <v>355</v>
      </c>
      <c r="D1082" t="s">
        <v>15</v>
      </c>
      <c r="E1082" t="s">
        <v>83</v>
      </c>
      <c r="F1082" t="s">
        <v>17</v>
      </c>
      <c r="G1082">
        <v>2</v>
      </c>
      <c r="H1082" s="3">
        <v>13.5</v>
      </c>
      <c r="I1082" s="3">
        <v>27</v>
      </c>
      <c r="J1082" t="s">
        <v>18</v>
      </c>
      <c r="K1082">
        <v>27</v>
      </c>
      <c r="L1082">
        <v>15</v>
      </c>
      <c r="M1082" t="s">
        <v>19</v>
      </c>
      <c r="N1082">
        <f t="shared" si="32"/>
        <v>27</v>
      </c>
      <c r="O1082" t="b">
        <f t="shared" si="33"/>
        <v>1</v>
      </c>
    </row>
    <row r="1083" spans="1:15">
      <c r="A1083" t="s">
        <v>1258</v>
      </c>
      <c r="B1083" s="2">
        <v>46255</v>
      </c>
      <c r="C1083" t="s">
        <v>273</v>
      </c>
      <c r="D1083" t="s">
        <v>35</v>
      </c>
      <c r="E1083" t="s">
        <v>22</v>
      </c>
      <c r="F1083" t="s">
        <v>23</v>
      </c>
      <c r="G1083">
        <v>1</v>
      </c>
      <c r="H1083" s="3">
        <v>3.1</v>
      </c>
      <c r="I1083" s="3">
        <v>3.1</v>
      </c>
      <c r="J1083" t="s">
        <v>53</v>
      </c>
      <c r="K1083">
        <v>14</v>
      </c>
      <c r="L1083">
        <v>12</v>
      </c>
      <c r="M1083" t="s">
        <v>19</v>
      </c>
      <c r="N1083">
        <f t="shared" si="32"/>
        <v>3.1</v>
      </c>
      <c r="O1083" t="b">
        <f t="shared" si="33"/>
        <v>1</v>
      </c>
    </row>
    <row r="1084" spans="1:15">
      <c r="A1084" t="s">
        <v>1259</v>
      </c>
      <c r="B1084" s="2">
        <v>46162</v>
      </c>
      <c r="C1084" t="s">
        <v>145</v>
      </c>
      <c r="D1084" t="s">
        <v>35</v>
      </c>
      <c r="E1084" t="s">
        <v>50</v>
      </c>
      <c r="F1084" t="s">
        <v>17</v>
      </c>
      <c r="G1084">
        <v>2</v>
      </c>
      <c r="H1084" s="3">
        <v>14.5</v>
      </c>
      <c r="I1084" s="3">
        <v>29</v>
      </c>
      <c r="J1084" t="s">
        <v>32</v>
      </c>
      <c r="K1084">
        <v>6</v>
      </c>
      <c r="L1084">
        <v>16</v>
      </c>
      <c r="M1084" t="s">
        <v>19</v>
      </c>
      <c r="N1084">
        <f t="shared" si="32"/>
        <v>29</v>
      </c>
      <c r="O1084" t="b">
        <f t="shared" si="33"/>
        <v>1</v>
      </c>
    </row>
    <row r="1085" spans="1:15">
      <c r="A1085" t="s">
        <v>1260</v>
      </c>
      <c r="B1085" s="2">
        <v>46062</v>
      </c>
      <c r="C1085" t="s">
        <v>171</v>
      </c>
      <c r="D1085" t="s">
        <v>35</v>
      </c>
      <c r="E1085" t="s">
        <v>93</v>
      </c>
      <c r="F1085" t="s">
        <v>31</v>
      </c>
      <c r="G1085">
        <v>2</v>
      </c>
      <c r="H1085" s="3">
        <v>6.25</v>
      </c>
      <c r="I1085" s="3">
        <v>12.5</v>
      </c>
      <c r="J1085" t="s">
        <v>18</v>
      </c>
      <c r="K1085">
        <v>27</v>
      </c>
      <c r="L1085">
        <v>17</v>
      </c>
      <c r="M1085" t="s">
        <v>19</v>
      </c>
      <c r="N1085">
        <f t="shared" si="32"/>
        <v>12.5</v>
      </c>
      <c r="O1085" t="b">
        <f t="shared" si="33"/>
        <v>1</v>
      </c>
    </row>
    <row r="1086" spans="1:15">
      <c r="A1086" t="s">
        <v>1261</v>
      </c>
      <c r="B1086" s="2">
        <v>46050</v>
      </c>
      <c r="C1086" t="s">
        <v>55</v>
      </c>
      <c r="D1086" t="s">
        <v>35</v>
      </c>
      <c r="E1086" t="s">
        <v>70</v>
      </c>
      <c r="F1086" t="s">
        <v>17</v>
      </c>
      <c r="G1086">
        <v>1</v>
      </c>
      <c r="H1086" s="3">
        <v>12.5</v>
      </c>
      <c r="I1086" s="3">
        <v>12.5</v>
      </c>
      <c r="J1086" t="s">
        <v>27</v>
      </c>
      <c r="K1086">
        <v>28</v>
      </c>
      <c r="L1086">
        <v>27</v>
      </c>
      <c r="M1086" t="s">
        <v>19</v>
      </c>
      <c r="N1086">
        <f t="shared" si="32"/>
        <v>12.5</v>
      </c>
      <c r="O1086" t="b">
        <f t="shared" si="33"/>
        <v>1</v>
      </c>
    </row>
    <row r="1087" spans="1:15">
      <c r="A1087" t="s">
        <v>1262</v>
      </c>
      <c r="B1087" s="2">
        <v>46145</v>
      </c>
      <c r="C1087" t="s">
        <v>1263</v>
      </c>
      <c r="D1087" t="s">
        <v>15</v>
      </c>
      <c r="E1087" t="s">
        <v>39</v>
      </c>
      <c r="F1087" t="s">
        <v>17</v>
      </c>
      <c r="G1087">
        <v>1</v>
      </c>
      <c r="H1087" s="3">
        <v>12.95</v>
      </c>
      <c r="I1087" s="3">
        <v>12.95</v>
      </c>
      <c r="J1087" t="s">
        <v>53</v>
      </c>
      <c r="K1087">
        <v>25</v>
      </c>
      <c r="L1087">
        <v>19</v>
      </c>
      <c r="M1087" t="s">
        <v>19</v>
      </c>
      <c r="N1087">
        <f t="shared" si="32"/>
        <v>12.95</v>
      </c>
      <c r="O1087" t="b">
        <f t="shared" si="33"/>
        <v>1</v>
      </c>
    </row>
    <row r="1088" spans="1:15">
      <c r="A1088" t="s">
        <v>1264</v>
      </c>
      <c r="B1088" s="2">
        <v>46119</v>
      </c>
      <c r="C1088" t="s">
        <v>366</v>
      </c>
      <c r="D1088" t="s">
        <v>35</v>
      </c>
      <c r="E1088" t="s">
        <v>16</v>
      </c>
      <c r="F1088" t="s">
        <v>17</v>
      </c>
      <c r="G1088">
        <v>1</v>
      </c>
      <c r="H1088" s="3">
        <v>9.9499999999999993</v>
      </c>
      <c r="I1088" s="3">
        <v>9.9499999999999993</v>
      </c>
      <c r="J1088" t="s">
        <v>18</v>
      </c>
      <c r="K1088">
        <v>26</v>
      </c>
      <c r="L1088">
        <v>12</v>
      </c>
      <c r="M1088" t="s">
        <v>19</v>
      </c>
      <c r="N1088">
        <f t="shared" si="32"/>
        <v>9.9499999999999993</v>
      </c>
      <c r="O1088" t="b">
        <f t="shared" si="33"/>
        <v>1</v>
      </c>
    </row>
    <row r="1089" spans="1:15">
      <c r="A1089" t="s">
        <v>1265</v>
      </c>
      <c r="B1089" s="2">
        <v>46047</v>
      </c>
      <c r="C1089" t="s">
        <v>248</v>
      </c>
      <c r="D1089" t="s">
        <v>15</v>
      </c>
      <c r="E1089" t="s">
        <v>30</v>
      </c>
      <c r="F1089" t="s">
        <v>31</v>
      </c>
      <c r="G1089">
        <v>2</v>
      </c>
      <c r="H1089" s="3">
        <v>8.5</v>
      </c>
      <c r="I1089" s="3">
        <v>17</v>
      </c>
      <c r="J1089" t="s">
        <v>27</v>
      </c>
      <c r="K1089">
        <v>17</v>
      </c>
      <c r="L1089">
        <v>12</v>
      </c>
      <c r="M1089" t="s">
        <v>19</v>
      </c>
      <c r="N1089">
        <f t="shared" si="32"/>
        <v>17</v>
      </c>
      <c r="O1089" t="b">
        <f t="shared" si="33"/>
        <v>1</v>
      </c>
    </row>
    <row r="1090" spans="1:15">
      <c r="A1090" t="s">
        <v>1266</v>
      </c>
      <c r="B1090" s="2">
        <v>46223</v>
      </c>
      <c r="C1090" t="s">
        <v>448</v>
      </c>
      <c r="D1090" t="s">
        <v>35</v>
      </c>
      <c r="E1090" t="s">
        <v>59</v>
      </c>
      <c r="F1090" t="s">
        <v>17</v>
      </c>
      <c r="G1090">
        <v>1</v>
      </c>
      <c r="H1090" s="3">
        <v>11.95</v>
      </c>
      <c r="I1090" s="3">
        <v>0</v>
      </c>
      <c r="J1090" t="s">
        <v>27</v>
      </c>
      <c r="K1090">
        <v>25</v>
      </c>
      <c r="L1090">
        <v>12</v>
      </c>
      <c r="M1090" t="s">
        <v>152</v>
      </c>
      <c r="N1090">
        <f t="shared" ref="N1090:N1153" si="34">G1090*H1090</f>
        <v>11.95</v>
      </c>
      <c r="O1090" t="b">
        <f t="shared" ref="O1090:O1153" si="35">OR(AND(M1090="Completed",I1090=N1090),AND(M1090="Refunded",ABS(I1090)=N1090),AND(M1090="Cancelled",I1090=0))</f>
        <v>1</v>
      </c>
    </row>
    <row r="1091" spans="1:15">
      <c r="A1091" t="s">
        <v>1267</v>
      </c>
      <c r="B1091" s="2">
        <v>46218</v>
      </c>
      <c r="C1091" t="s">
        <v>431</v>
      </c>
      <c r="D1091" t="s">
        <v>35</v>
      </c>
      <c r="E1091" t="s">
        <v>106</v>
      </c>
      <c r="F1091" t="s">
        <v>17</v>
      </c>
      <c r="G1091">
        <v>1</v>
      </c>
      <c r="H1091" s="3">
        <v>15.95</v>
      </c>
      <c r="I1091" s="3">
        <v>15.95</v>
      </c>
      <c r="J1091" t="s">
        <v>53</v>
      </c>
      <c r="K1091">
        <v>3</v>
      </c>
      <c r="L1091">
        <v>19</v>
      </c>
      <c r="M1091" t="s">
        <v>19</v>
      </c>
      <c r="N1091">
        <f t="shared" si="34"/>
        <v>15.95</v>
      </c>
      <c r="O1091" t="b">
        <f t="shared" si="35"/>
        <v>1</v>
      </c>
    </row>
    <row r="1092" spans="1:15">
      <c r="A1092" t="s">
        <v>1268</v>
      </c>
      <c r="B1092" s="2">
        <v>46070</v>
      </c>
      <c r="C1092" t="s">
        <v>116</v>
      </c>
      <c r="D1092" t="s">
        <v>35</v>
      </c>
      <c r="E1092" t="s">
        <v>50</v>
      </c>
      <c r="F1092" t="s">
        <v>17</v>
      </c>
      <c r="G1092">
        <v>2</v>
      </c>
      <c r="H1092" s="3">
        <v>14.5</v>
      </c>
      <c r="I1092" s="3">
        <v>29</v>
      </c>
      <c r="J1092" t="s">
        <v>18</v>
      </c>
      <c r="K1092">
        <v>24</v>
      </c>
      <c r="L1092">
        <v>27</v>
      </c>
      <c r="M1092" t="s">
        <v>19</v>
      </c>
      <c r="N1092">
        <f t="shared" si="34"/>
        <v>29</v>
      </c>
      <c r="O1092" t="b">
        <f t="shared" si="35"/>
        <v>1</v>
      </c>
    </row>
    <row r="1093" spans="1:15">
      <c r="A1093" t="s">
        <v>1269</v>
      </c>
      <c r="B1093" s="2">
        <v>46290</v>
      </c>
      <c r="C1093" t="s">
        <v>541</v>
      </c>
      <c r="D1093" t="s">
        <v>35</v>
      </c>
      <c r="E1093" t="s">
        <v>50</v>
      </c>
      <c r="F1093" t="s">
        <v>17</v>
      </c>
      <c r="G1093">
        <v>1</v>
      </c>
      <c r="H1093" s="3">
        <v>14.5</v>
      </c>
      <c r="I1093" s="3">
        <v>14.5</v>
      </c>
      <c r="J1093" t="s">
        <v>53</v>
      </c>
      <c r="K1093">
        <v>20</v>
      </c>
      <c r="L1093">
        <v>19</v>
      </c>
      <c r="M1093" t="s">
        <v>19</v>
      </c>
      <c r="N1093">
        <f t="shared" si="34"/>
        <v>14.5</v>
      </c>
      <c r="O1093" t="b">
        <f t="shared" si="35"/>
        <v>1</v>
      </c>
    </row>
    <row r="1094" spans="1:15">
      <c r="A1094" t="s">
        <v>1270</v>
      </c>
      <c r="B1094" s="2">
        <v>46243</v>
      </c>
      <c r="C1094" t="s">
        <v>165</v>
      </c>
      <c r="D1094" t="s">
        <v>15</v>
      </c>
      <c r="E1094" t="s">
        <v>70</v>
      </c>
      <c r="F1094" t="s">
        <v>17</v>
      </c>
      <c r="G1094">
        <v>4</v>
      </c>
      <c r="H1094" s="3">
        <v>12.5</v>
      </c>
      <c r="I1094" s="3">
        <v>50</v>
      </c>
      <c r="J1094" t="s">
        <v>53</v>
      </c>
      <c r="K1094">
        <v>21</v>
      </c>
      <c r="L1094">
        <v>19</v>
      </c>
      <c r="M1094" t="s">
        <v>19</v>
      </c>
      <c r="N1094">
        <f t="shared" si="34"/>
        <v>50</v>
      </c>
      <c r="O1094" t="b">
        <f t="shared" si="35"/>
        <v>1</v>
      </c>
    </row>
    <row r="1095" spans="1:15">
      <c r="A1095" t="s">
        <v>1271</v>
      </c>
      <c r="B1095" s="2">
        <v>46072</v>
      </c>
      <c r="C1095" t="s">
        <v>158</v>
      </c>
      <c r="D1095" t="s">
        <v>35</v>
      </c>
      <c r="E1095" t="s">
        <v>36</v>
      </c>
      <c r="F1095" t="s">
        <v>23</v>
      </c>
      <c r="G1095">
        <v>2</v>
      </c>
      <c r="H1095" s="3">
        <v>2.8</v>
      </c>
      <c r="I1095" s="3">
        <v>5.6</v>
      </c>
      <c r="J1095" t="s">
        <v>27</v>
      </c>
      <c r="K1095">
        <v>16</v>
      </c>
      <c r="L1095">
        <v>14</v>
      </c>
      <c r="M1095" t="s">
        <v>19</v>
      </c>
      <c r="N1095">
        <f t="shared" si="34"/>
        <v>5.6</v>
      </c>
      <c r="O1095" t="b">
        <f t="shared" si="35"/>
        <v>1</v>
      </c>
    </row>
    <row r="1096" spans="1:15">
      <c r="A1096" t="s">
        <v>1272</v>
      </c>
      <c r="B1096" s="2">
        <v>46183</v>
      </c>
      <c r="C1096" t="s">
        <v>258</v>
      </c>
      <c r="D1096" t="s">
        <v>15</v>
      </c>
      <c r="E1096" t="s">
        <v>39</v>
      </c>
      <c r="F1096" t="s">
        <v>17</v>
      </c>
      <c r="G1096">
        <v>1</v>
      </c>
      <c r="H1096" s="3">
        <v>12.95</v>
      </c>
      <c r="I1096" s="3">
        <v>12.95</v>
      </c>
      <c r="J1096" t="s">
        <v>32</v>
      </c>
      <c r="K1096">
        <v>23</v>
      </c>
      <c r="L1096">
        <v>14</v>
      </c>
      <c r="M1096" t="s">
        <v>19</v>
      </c>
      <c r="N1096">
        <f t="shared" si="34"/>
        <v>12.95</v>
      </c>
      <c r="O1096" t="b">
        <f t="shared" si="35"/>
        <v>1</v>
      </c>
    </row>
    <row r="1097" spans="1:15">
      <c r="A1097" t="s">
        <v>1273</v>
      </c>
      <c r="B1097" s="2">
        <v>46155</v>
      </c>
      <c r="C1097" t="s">
        <v>541</v>
      </c>
      <c r="D1097" t="s">
        <v>35</v>
      </c>
      <c r="E1097" t="s">
        <v>50</v>
      </c>
      <c r="F1097" t="s">
        <v>17</v>
      </c>
      <c r="G1097">
        <v>3</v>
      </c>
      <c r="H1097" s="3">
        <v>14.5</v>
      </c>
      <c r="I1097" s="3">
        <v>43.5</v>
      </c>
      <c r="J1097" t="s">
        <v>27</v>
      </c>
      <c r="K1097">
        <v>16</v>
      </c>
      <c r="L1097">
        <v>21</v>
      </c>
      <c r="M1097" t="s">
        <v>19</v>
      </c>
      <c r="N1097">
        <f t="shared" si="34"/>
        <v>43.5</v>
      </c>
      <c r="O1097" t="b">
        <f t="shared" si="35"/>
        <v>1</v>
      </c>
    </row>
    <row r="1098" spans="1:15">
      <c r="A1098" t="s">
        <v>1274</v>
      </c>
      <c r="B1098" s="2">
        <v>46169</v>
      </c>
      <c r="C1098" t="s">
        <v>130</v>
      </c>
      <c r="D1098" t="s">
        <v>35</v>
      </c>
      <c r="E1098" t="s">
        <v>50</v>
      </c>
      <c r="F1098" t="s">
        <v>17</v>
      </c>
      <c r="G1098">
        <v>1</v>
      </c>
      <c r="H1098" s="3">
        <v>14.5</v>
      </c>
      <c r="I1098" s="3">
        <v>14.5</v>
      </c>
      <c r="J1098" t="s">
        <v>27</v>
      </c>
      <c r="K1098">
        <v>12</v>
      </c>
      <c r="L1098">
        <v>28</v>
      </c>
      <c r="M1098" t="s">
        <v>19</v>
      </c>
      <c r="N1098">
        <f t="shared" si="34"/>
        <v>14.5</v>
      </c>
      <c r="O1098" t="b">
        <f t="shared" si="35"/>
        <v>1</v>
      </c>
    </row>
    <row r="1099" spans="1:15">
      <c r="A1099" t="s">
        <v>1275</v>
      </c>
      <c r="B1099" s="2">
        <v>46234</v>
      </c>
      <c r="C1099" t="s">
        <v>64</v>
      </c>
      <c r="D1099" t="s">
        <v>35</v>
      </c>
      <c r="E1099" t="s">
        <v>83</v>
      </c>
      <c r="F1099" t="s">
        <v>17</v>
      </c>
      <c r="G1099">
        <v>2</v>
      </c>
      <c r="H1099" s="3">
        <v>13.5</v>
      </c>
      <c r="I1099" s="3">
        <v>27</v>
      </c>
      <c r="J1099" t="s">
        <v>18</v>
      </c>
      <c r="K1099">
        <v>2</v>
      </c>
      <c r="L1099">
        <v>7</v>
      </c>
      <c r="M1099" t="s">
        <v>19</v>
      </c>
      <c r="N1099">
        <f t="shared" si="34"/>
        <v>27</v>
      </c>
      <c r="O1099" t="b">
        <f t="shared" si="35"/>
        <v>1</v>
      </c>
    </row>
    <row r="1100" spans="1:15">
      <c r="A1100" t="s">
        <v>1276</v>
      </c>
      <c r="B1100" s="2">
        <v>46148</v>
      </c>
      <c r="C1100" t="s">
        <v>191</v>
      </c>
      <c r="D1100" t="s">
        <v>35</v>
      </c>
      <c r="E1100" t="s">
        <v>50</v>
      </c>
      <c r="F1100" t="s">
        <v>17</v>
      </c>
      <c r="G1100">
        <v>2</v>
      </c>
      <c r="H1100" s="3">
        <v>14.5</v>
      </c>
      <c r="I1100" s="3">
        <v>29</v>
      </c>
      <c r="J1100" t="s">
        <v>27</v>
      </c>
      <c r="K1100">
        <v>28</v>
      </c>
      <c r="L1100">
        <v>14</v>
      </c>
      <c r="M1100" t="s">
        <v>19</v>
      </c>
      <c r="N1100">
        <f t="shared" si="34"/>
        <v>29</v>
      </c>
      <c r="O1100" t="b">
        <f t="shared" si="35"/>
        <v>1</v>
      </c>
    </row>
    <row r="1101" spans="1:15">
      <c r="A1101" t="s">
        <v>1277</v>
      </c>
      <c r="B1101" s="2">
        <v>46221</v>
      </c>
      <c r="C1101" t="s">
        <v>279</v>
      </c>
      <c r="D1101" t="s">
        <v>35</v>
      </c>
      <c r="E1101" t="s">
        <v>30</v>
      </c>
      <c r="F1101" t="s">
        <v>31</v>
      </c>
      <c r="G1101">
        <v>1</v>
      </c>
      <c r="H1101" s="3">
        <v>8.5</v>
      </c>
      <c r="I1101" s="3">
        <v>8.5</v>
      </c>
      <c r="J1101" t="s">
        <v>53</v>
      </c>
      <c r="K1101">
        <v>18</v>
      </c>
      <c r="L1101">
        <v>25</v>
      </c>
      <c r="M1101" t="s">
        <v>19</v>
      </c>
      <c r="N1101">
        <f t="shared" si="34"/>
        <v>8.5</v>
      </c>
      <c r="O1101" t="b">
        <f t="shared" si="35"/>
        <v>1</v>
      </c>
    </row>
    <row r="1102" spans="1:15">
      <c r="A1102" t="s">
        <v>1278</v>
      </c>
      <c r="B1102" s="2">
        <v>46261</v>
      </c>
      <c r="C1102" t="s">
        <v>697</v>
      </c>
      <c r="D1102" t="s">
        <v>15</v>
      </c>
      <c r="E1102" t="s">
        <v>59</v>
      </c>
      <c r="F1102" t="s">
        <v>17</v>
      </c>
      <c r="G1102">
        <v>3</v>
      </c>
      <c r="H1102" s="3">
        <v>11.95</v>
      </c>
      <c r="I1102" s="3">
        <v>35.85</v>
      </c>
      <c r="J1102" t="s">
        <v>27</v>
      </c>
      <c r="K1102">
        <v>11</v>
      </c>
      <c r="L1102">
        <v>16</v>
      </c>
      <c r="M1102" t="s">
        <v>19</v>
      </c>
      <c r="N1102">
        <f t="shared" si="34"/>
        <v>35.849999999999994</v>
      </c>
      <c r="O1102" t="b">
        <f t="shared" si="35"/>
        <v>1</v>
      </c>
    </row>
    <row r="1103" spans="1:15">
      <c r="A1103" t="s">
        <v>1279</v>
      </c>
      <c r="B1103" s="2">
        <v>46198</v>
      </c>
      <c r="C1103" t="s">
        <v>205</v>
      </c>
      <c r="D1103" t="s">
        <v>35</v>
      </c>
      <c r="E1103" t="s">
        <v>103</v>
      </c>
      <c r="F1103" t="s">
        <v>23</v>
      </c>
      <c r="G1103">
        <v>1</v>
      </c>
      <c r="H1103" s="3">
        <v>3.25</v>
      </c>
      <c r="I1103" s="3">
        <v>3.25</v>
      </c>
      <c r="J1103" t="s">
        <v>18</v>
      </c>
      <c r="K1103">
        <v>2</v>
      </c>
      <c r="L1103">
        <v>9</v>
      </c>
      <c r="M1103" t="s">
        <v>19</v>
      </c>
      <c r="N1103">
        <f t="shared" si="34"/>
        <v>3.25</v>
      </c>
      <c r="O1103" t="b">
        <f t="shared" si="35"/>
        <v>1</v>
      </c>
    </row>
    <row r="1104" spans="1:15">
      <c r="A1104" t="s">
        <v>1280</v>
      </c>
      <c r="B1104" s="2">
        <v>46263</v>
      </c>
      <c r="C1104" t="s">
        <v>175</v>
      </c>
      <c r="D1104" t="s">
        <v>15</v>
      </c>
      <c r="E1104" t="s">
        <v>121</v>
      </c>
      <c r="F1104" t="s">
        <v>23</v>
      </c>
      <c r="G1104">
        <v>1</v>
      </c>
      <c r="H1104" s="3">
        <v>6.5</v>
      </c>
      <c r="I1104" s="3">
        <v>6.5</v>
      </c>
      <c r="J1104" t="s">
        <v>18</v>
      </c>
      <c r="K1104">
        <v>26</v>
      </c>
      <c r="L1104">
        <v>9</v>
      </c>
      <c r="M1104" t="s">
        <v>19</v>
      </c>
      <c r="N1104">
        <f t="shared" si="34"/>
        <v>6.5</v>
      </c>
      <c r="O1104" t="b">
        <f t="shared" si="35"/>
        <v>1</v>
      </c>
    </row>
    <row r="1105" spans="1:15">
      <c r="A1105" t="s">
        <v>1281</v>
      </c>
      <c r="B1105" s="2">
        <v>46243</v>
      </c>
      <c r="C1105" t="s">
        <v>286</v>
      </c>
      <c r="D1105" t="s">
        <v>35</v>
      </c>
      <c r="E1105" t="s">
        <v>70</v>
      </c>
      <c r="F1105" t="s">
        <v>17</v>
      </c>
      <c r="G1105">
        <v>2</v>
      </c>
      <c r="H1105" s="3">
        <v>12.5</v>
      </c>
      <c r="I1105" s="3">
        <v>-25</v>
      </c>
      <c r="J1105" t="s">
        <v>18</v>
      </c>
      <c r="K1105">
        <v>22</v>
      </c>
      <c r="L1105">
        <v>17</v>
      </c>
      <c r="M1105" t="s">
        <v>62</v>
      </c>
      <c r="N1105">
        <f t="shared" si="34"/>
        <v>25</v>
      </c>
      <c r="O1105" t="b">
        <f t="shared" si="35"/>
        <v>1</v>
      </c>
    </row>
    <row r="1106" spans="1:15">
      <c r="A1106" t="s">
        <v>1282</v>
      </c>
      <c r="B1106" s="2">
        <v>46152</v>
      </c>
      <c r="C1106" t="s">
        <v>142</v>
      </c>
      <c r="D1106" t="s">
        <v>35</v>
      </c>
      <c r="E1106" t="s">
        <v>39</v>
      </c>
      <c r="F1106" t="s">
        <v>17</v>
      </c>
      <c r="G1106">
        <v>1</v>
      </c>
      <c r="H1106" s="3">
        <v>12.95</v>
      </c>
      <c r="I1106" s="3">
        <v>12.95</v>
      </c>
      <c r="J1106" t="s">
        <v>18</v>
      </c>
      <c r="K1106">
        <v>28</v>
      </c>
      <c r="L1106">
        <v>17</v>
      </c>
      <c r="M1106" t="s">
        <v>19</v>
      </c>
      <c r="N1106">
        <f t="shared" si="34"/>
        <v>12.95</v>
      </c>
      <c r="O1106" t="b">
        <f t="shared" si="35"/>
        <v>1</v>
      </c>
    </row>
    <row r="1107" spans="1:15">
      <c r="A1107" t="s">
        <v>1283</v>
      </c>
      <c r="B1107" s="2">
        <v>46132</v>
      </c>
      <c r="C1107" t="s">
        <v>120</v>
      </c>
      <c r="D1107" t="s">
        <v>35</v>
      </c>
      <c r="E1107" t="s">
        <v>83</v>
      </c>
      <c r="F1107" t="s">
        <v>17</v>
      </c>
      <c r="G1107">
        <v>1</v>
      </c>
      <c r="H1107" s="3">
        <v>13.5</v>
      </c>
      <c r="I1107" s="3">
        <v>13.5</v>
      </c>
      <c r="J1107" t="s">
        <v>53</v>
      </c>
      <c r="K1107">
        <v>11</v>
      </c>
      <c r="L1107">
        <v>29</v>
      </c>
      <c r="M1107" t="s">
        <v>19</v>
      </c>
      <c r="N1107">
        <f t="shared" si="34"/>
        <v>13.5</v>
      </c>
      <c r="O1107" t="b">
        <f t="shared" si="35"/>
        <v>1</v>
      </c>
    </row>
    <row r="1108" spans="1:15">
      <c r="A1108" t="s">
        <v>1284</v>
      </c>
      <c r="B1108" s="2">
        <v>46175</v>
      </c>
      <c r="C1108" t="s">
        <v>288</v>
      </c>
      <c r="D1108" t="s">
        <v>15</v>
      </c>
      <c r="E1108" t="s">
        <v>103</v>
      </c>
      <c r="F1108" t="s">
        <v>23</v>
      </c>
      <c r="G1108">
        <v>1</v>
      </c>
      <c r="H1108" s="3">
        <v>3.25</v>
      </c>
      <c r="I1108" s="3">
        <v>3.25</v>
      </c>
      <c r="J1108" t="s">
        <v>18</v>
      </c>
      <c r="K1108">
        <v>14</v>
      </c>
      <c r="L1108">
        <v>12</v>
      </c>
      <c r="M1108" t="s">
        <v>19</v>
      </c>
      <c r="N1108">
        <f t="shared" si="34"/>
        <v>3.25</v>
      </c>
      <c r="O1108" t="b">
        <f t="shared" si="35"/>
        <v>1</v>
      </c>
    </row>
    <row r="1109" spans="1:15">
      <c r="A1109" t="s">
        <v>1285</v>
      </c>
      <c r="B1109" s="2">
        <v>46222</v>
      </c>
      <c r="C1109" t="s">
        <v>193</v>
      </c>
      <c r="D1109" t="s">
        <v>35</v>
      </c>
      <c r="E1109" t="s">
        <v>70</v>
      </c>
      <c r="F1109" t="s">
        <v>17</v>
      </c>
      <c r="G1109">
        <v>1</v>
      </c>
      <c r="H1109" s="3">
        <v>12.5</v>
      </c>
      <c r="I1109" s="3">
        <v>12.5</v>
      </c>
      <c r="J1109" t="s">
        <v>18</v>
      </c>
      <c r="K1109">
        <v>19</v>
      </c>
      <c r="L1109">
        <v>5</v>
      </c>
      <c r="M1109" t="s">
        <v>19</v>
      </c>
      <c r="N1109">
        <f t="shared" si="34"/>
        <v>12.5</v>
      </c>
      <c r="O1109" t="b">
        <f t="shared" si="35"/>
        <v>1</v>
      </c>
    </row>
    <row r="1110" spans="1:15">
      <c r="A1110" t="s">
        <v>1286</v>
      </c>
      <c r="B1110" s="2">
        <v>46188</v>
      </c>
      <c r="C1110" t="s">
        <v>615</v>
      </c>
      <c r="D1110" t="s">
        <v>35</v>
      </c>
      <c r="E1110" t="s">
        <v>93</v>
      </c>
      <c r="F1110" t="s">
        <v>31</v>
      </c>
      <c r="G1110">
        <v>1</v>
      </c>
      <c r="H1110" s="3">
        <v>6.25</v>
      </c>
      <c r="I1110" s="3">
        <v>6.25</v>
      </c>
      <c r="J1110" t="s">
        <v>27</v>
      </c>
      <c r="K1110">
        <v>11</v>
      </c>
      <c r="L1110">
        <v>26</v>
      </c>
      <c r="M1110" t="s">
        <v>19</v>
      </c>
      <c r="N1110">
        <f t="shared" si="34"/>
        <v>6.25</v>
      </c>
      <c r="O1110" t="b">
        <f t="shared" si="35"/>
        <v>1</v>
      </c>
    </row>
    <row r="1111" spans="1:15">
      <c r="A1111" t="s">
        <v>1287</v>
      </c>
      <c r="B1111" s="2">
        <v>46231</v>
      </c>
      <c r="C1111" t="s">
        <v>222</v>
      </c>
      <c r="D1111" t="s">
        <v>15</v>
      </c>
      <c r="E1111" t="s">
        <v>50</v>
      </c>
      <c r="F1111" t="s">
        <v>17</v>
      </c>
      <c r="G1111">
        <v>2</v>
      </c>
      <c r="H1111" s="3">
        <v>14.5</v>
      </c>
      <c r="I1111" s="3">
        <v>29</v>
      </c>
      <c r="J1111" t="s">
        <v>27</v>
      </c>
      <c r="K1111">
        <v>19</v>
      </c>
      <c r="L1111">
        <v>13</v>
      </c>
      <c r="M1111" t="s">
        <v>19</v>
      </c>
      <c r="N1111">
        <f t="shared" si="34"/>
        <v>29</v>
      </c>
      <c r="O1111" t="b">
        <f t="shared" si="35"/>
        <v>1</v>
      </c>
    </row>
    <row r="1112" spans="1:15">
      <c r="A1112" t="s">
        <v>1288</v>
      </c>
      <c r="B1112" s="2">
        <v>46134</v>
      </c>
      <c r="C1112" t="s">
        <v>91</v>
      </c>
      <c r="D1112" t="s">
        <v>35</v>
      </c>
      <c r="E1112" t="s">
        <v>36</v>
      </c>
      <c r="F1112" t="s">
        <v>23</v>
      </c>
      <c r="G1112">
        <v>2</v>
      </c>
      <c r="H1112" s="3">
        <v>2.8</v>
      </c>
      <c r="I1112" s="3">
        <v>5.6</v>
      </c>
      <c r="J1112" t="s">
        <v>53</v>
      </c>
      <c r="K1112">
        <v>7</v>
      </c>
      <c r="L1112">
        <v>9</v>
      </c>
      <c r="M1112" t="s">
        <v>19</v>
      </c>
      <c r="N1112">
        <f t="shared" si="34"/>
        <v>5.6</v>
      </c>
      <c r="O1112" t="b">
        <f t="shared" si="35"/>
        <v>1</v>
      </c>
    </row>
    <row r="1113" spans="1:15">
      <c r="A1113" t="s">
        <v>1289</v>
      </c>
      <c r="B1113" s="2">
        <v>46030</v>
      </c>
      <c r="C1113" t="s">
        <v>248</v>
      </c>
      <c r="D1113" t="s">
        <v>15</v>
      </c>
      <c r="E1113" t="s">
        <v>126</v>
      </c>
      <c r="F1113" t="s">
        <v>31</v>
      </c>
      <c r="G1113">
        <v>3</v>
      </c>
      <c r="H1113" s="3">
        <v>7.95</v>
      </c>
      <c r="I1113" s="3">
        <v>23.85</v>
      </c>
      <c r="J1113" t="s">
        <v>53</v>
      </c>
      <c r="K1113">
        <v>27</v>
      </c>
      <c r="L1113">
        <v>19</v>
      </c>
      <c r="M1113" t="s">
        <v>19</v>
      </c>
      <c r="N1113">
        <f t="shared" si="34"/>
        <v>23.85</v>
      </c>
      <c r="O1113" t="b">
        <f t="shared" si="35"/>
        <v>1</v>
      </c>
    </row>
    <row r="1114" spans="1:15">
      <c r="A1114" t="s">
        <v>1290</v>
      </c>
      <c r="B1114" s="2">
        <v>46278</v>
      </c>
      <c r="C1114" t="s">
        <v>212</v>
      </c>
      <c r="D1114" t="s">
        <v>35</v>
      </c>
      <c r="E1114" t="s">
        <v>78</v>
      </c>
      <c r="F1114" t="s">
        <v>47</v>
      </c>
      <c r="G1114">
        <v>1</v>
      </c>
      <c r="H1114" s="3">
        <v>7.25</v>
      </c>
      <c r="I1114" s="3">
        <v>7.25</v>
      </c>
      <c r="J1114" t="s">
        <v>27</v>
      </c>
      <c r="K1114">
        <v>11</v>
      </c>
      <c r="L1114">
        <v>5</v>
      </c>
      <c r="M1114" t="s">
        <v>19</v>
      </c>
      <c r="N1114">
        <f t="shared" si="34"/>
        <v>7.25</v>
      </c>
      <c r="O1114" t="b">
        <f t="shared" si="35"/>
        <v>1</v>
      </c>
    </row>
    <row r="1115" spans="1:15">
      <c r="A1115" t="s">
        <v>1291</v>
      </c>
      <c r="B1115" s="2">
        <v>46113</v>
      </c>
      <c r="C1115" t="s">
        <v>120</v>
      </c>
      <c r="D1115" t="s">
        <v>35</v>
      </c>
      <c r="E1115" t="s">
        <v>36</v>
      </c>
      <c r="F1115" t="s">
        <v>23</v>
      </c>
      <c r="G1115">
        <v>2</v>
      </c>
      <c r="H1115" s="3">
        <v>2.8</v>
      </c>
      <c r="I1115" s="3">
        <v>5.6</v>
      </c>
      <c r="J1115" t="s">
        <v>18</v>
      </c>
      <c r="K1115">
        <v>14</v>
      </c>
      <c r="L1115">
        <v>20</v>
      </c>
      <c r="M1115" t="s">
        <v>19</v>
      </c>
      <c r="N1115">
        <f t="shared" si="34"/>
        <v>5.6</v>
      </c>
      <c r="O1115" t="b">
        <f t="shared" si="35"/>
        <v>1</v>
      </c>
    </row>
    <row r="1116" spans="1:15">
      <c r="A1116" t="s">
        <v>1292</v>
      </c>
      <c r="B1116" s="2">
        <v>46246</v>
      </c>
      <c r="C1116" t="s">
        <v>134</v>
      </c>
      <c r="D1116" t="s">
        <v>35</v>
      </c>
      <c r="E1116" t="s">
        <v>59</v>
      </c>
      <c r="F1116" t="s">
        <v>17</v>
      </c>
      <c r="G1116">
        <v>4</v>
      </c>
      <c r="H1116" s="3">
        <v>11.95</v>
      </c>
      <c r="I1116" s="3">
        <v>47.8</v>
      </c>
      <c r="J1116" t="s">
        <v>18</v>
      </c>
      <c r="K1116">
        <v>30</v>
      </c>
      <c r="L1116">
        <v>20</v>
      </c>
      <c r="M1116" t="s">
        <v>19</v>
      </c>
      <c r="N1116">
        <f t="shared" si="34"/>
        <v>47.8</v>
      </c>
      <c r="O1116" t="b">
        <f t="shared" si="35"/>
        <v>1</v>
      </c>
    </row>
    <row r="1117" spans="1:15">
      <c r="A1117" t="s">
        <v>1293</v>
      </c>
      <c r="B1117" s="2">
        <v>46277</v>
      </c>
      <c r="C1117" t="s">
        <v>254</v>
      </c>
      <c r="D1117" t="s">
        <v>35</v>
      </c>
      <c r="E1117" t="s">
        <v>59</v>
      </c>
      <c r="F1117" t="s">
        <v>17</v>
      </c>
      <c r="G1117">
        <v>2</v>
      </c>
      <c r="H1117" s="3">
        <v>11.95</v>
      </c>
      <c r="I1117" s="3">
        <v>23.9</v>
      </c>
      <c r="J1117" t="s">
        <v>32</v>
      </c>
      <c r="K1117">
        <v>19</v>
      </c>
      <c r="L1117">
        <v>20</v>
      </c>
      <c r="M1117" t="s">
        <v>19</v>
      </c>
      <c r="N1117">
        <f t="shared" si="34"/>
        <v>23.9</v>
      </c>
      <c r="O1117" t="b">
        <f t="shared" si="35"/>
        <v>1</v>
      </c>
    </row>
    <row r="1118" spans="1:15">
      <c r="A1118" t="s">
        <v>1294</v>
      </c>
      <c r="B1118" s="2">
        <v>46171</v>
      </c>
      <c r="C1118" t="s">
        <v>116</v>
      </c>
      <c r="D1118" t="s">
        <v>35</v>
      </c>
      <c r="E1118" t="s">
        <v>96</v>
      </c>
      <c r="F1118" t="s">
        <v>47</v>
      </c>
      <c r="G1118">
        <v>1</v>
      </c>
      <c r="H1118" s="3">
        <v>5.75</v>
      </c>
      <c r="I1118" s="3">
        <v>5.75</v>
      </c>
      <c r="J1118" t="s">
        <v>18</v>
      </c>
      <c r="K1118">
        <v>4</v>
      </c>
      <c r="L1118">
        <v>22</v>
      </c>
      <c r="M1118" t="s">
        <v>19</v>
      </c>
      <c r="N1118">
        <f t="shared" si="34"/>
        <v>5.75</v>
      </c>
      <c r="O1118" t="b">
        <f t="shared" si="35"/>
        <v>1</v>
      </c>
    </row>
    <row r="1119" spans="1:15">
      <c r="A1119" t="s">
        <v>1295</v>
      </c>
      <c r="B1119" s="2">
        <v>46260</v>
      </c>
      <c r="C1119" t="s">
        <v>615</v>
      </c>
      <c r="D1119" t="s">
        <v>35</v>
      </c>
      <c r="E1119" t="s">
        <v>46</v>
      </c>
      <c r="F1119" t="s">
        <v>47</v>
      </c>
      <c r="G1119">
        <v>1</v>
      </c>
      <c r="H1119" s="3">
        <v>6.95</v>
      </c>
      <c r="I1119" s="3">
        <v>6.95</v>
      </c>
      <c r="J1119" t="s">
        <v>27</v>
      </c>
      <c r="K1119">
        <v>26</v>
      </c>
      <c r="L1119">
        <v>26</v>
      </c>
      <c r="M1119" t="s">
        <v>19</v>
      </c>
      <c r="N1119">
        <f t="shared" si="34"/>
        <v>6.95</v>
      </c>
      <c r="O1119" t="b">
        <f t="shared" si="35"/>
        <v>1</v>
      </c>
    </row>
    <row r="1120" spans="1:15">
      <c r="A1120" t="s">
        <v>1296</v>
      </c>
      <c r="B1120" s="2">
        <v>46168</v>
      </c>
      <c r="C1120" t="s">
        <v>465</v>
      </c>
      <c r="D1120" t="s">
        <v>15</v>
      </c>
      <c r="E1120" t="s">
        <v>78</v>
      </c>
      <c r="F1120" t="s">
        <v>47</v>
      </c>
      <c r="G1120">
        <v>2</v>
      </c>
      <c r="H1120" s="3">
        <v>7.25</v>
      </c>
      <c r="I1120" s="3">
        <v>14.5</v>
      </c>
      <c r="J1120" t="s">
        <v>27</v>
      </c>
      <c r="K1120">
        <v>1</v>
      </c>
      <c r="L1120">
        <v>21</v>
      </c>
      <c r="M1120" t="s">
        <v>19</v>
      </c>
      <c r="N1120">
        <f t="shared" si="34"/>
        <v>14.5</v>
      </c>
      <c r="O1120" t="b">
        <f t="shared" si="35"/>
        <v>1</v>
      </c>
    </row>
    <row r="1121" spans="1:15">
      <c r="A1121" t="s">
        <v>1297</v>
      </c>
      <c r="B1121" s="2">
        <v>46214</v>
      </c>
      <c r="C1121" t="s">
        <v>69</v>
      </c>
      <c r="D1121" t="s">
        <v>35</v>
      </c>
      <c r="E1121" t="s">
        <v>56</v>
      </c>
      <c r="F1121" t="s">
        <v>23</v>
      </c>
      <c r="G1121">
        <v>1</v>
      </c>
      <c r="H1121" s="3">
        <v>3.75</v>
      </c>
      <c r="I1121" s="3">
        <v>3.75</v>
      </c>
      <c r="J1121" t="s">
        <v>53</v>
      </c>
      <c r="K1121">
        <v>19</v>
      </c>
      <c r="L1121">
        <v>9</v>
      </c>
      <c r="M1121" t="s">
        <v>19</v>
      </c>
      <c r="N1121">
        <f t="shared" si="34"/>
        <v>3.75</v>
      </c>
      <c r="O1121" t="b">
        <f t="shared" si="35"/>
        <v>1</v>
      </c>
    </row>
    <row r="1122" spans="1:15">
      <c r="A1122" t="s">
        <v>1298</v>
      </c>
      <c r="B1122" s="2">
        <v>46146</v>
      </c>
      <c r="C1122" t="s">
        <v>205</v>
      </c>
      <c r="D1122" t="s">
        <v>35</v>
      </c>
      <c r="E1122" t="s">
        <v>56</v>
      </c>
      <c r="F1122" t="s">
        <v>23</v>
      </c>
      <c r="G1122">
        <v>2</v>
      </c>
      <c r="H1122" s="3">
        <v>3.75</v>
      </c>
      <c r="I1122" s="3">
        <v>7.5</v>
      </c>
      <c r="J1122" t="s">
        <v>53</v>
      </c>
      <c r="K1122">
        <v>5</v>
      </c>
      <c r="L1122">
        <v>15</v>
      </c>
      <c r="M1122" t="s">
        <v>19</v>
      </c>
      <c r="N1122">
        <f t="shared" si="34"/>
        <v>7.5</v>
      </c>
      <c r="O1122" t="b">
        <f t="shared" si="35"/>
        <v>1</v>
      </c>
    </row>
    <row r="1123" spans="1:15">
      <c r="A1123" t="s">
        <v>1299</v>
      </c>
      <c r="B1123" s="2">
        <v>46222</v>
      </c>
      <c r="C1123" t="s">
        <v>91</v>
      </c>
      <c r="D1123" t="s">
        <v>35</v>
      </c>
      <c r="E1123" t="s">
        <v>93</v>
      </c>
      <c r="F1123" t="s">
        <v>31</v>
      </c>
      <c r="G1123">
        <v>1</v>
      </c>
      <c r="H1123" s="3">
        <v>6.25</v>
      </c>
      <c r="I1123" s="3">
        <v>6.25</v>
      </c>
      <c r="J1123" t="s">
        <v>27</v>
      </c>
      <c r="K1123">
        <v>8</v>
      </c>
      <c r="L1123">
        <v>12</v>
      </c>
      <c r="M1123" t="s">
        <v>19</v>
      </c>
      <c r="N1123">
        <f t="shared" si="34"/>
        <v>6.25</v>
      </c>
      <c r="O1123" t="b">
        <f t="shared" si="35"/>
        <v>1</v>
      </c>
    </row>
    <row r="1124" spans="1:15">
      <c r="A1124" t="s">
        <v>1300</v>
      </c>
      <c r="B1124" s="2">
        <v>46087</v>
      </c>
      <c r="C1124" t="s">
        <v>134</v>
      </c>
      <c r="D1124" t="s">
        <v>35</v>
      </c>
      <c r="E1124" t="s">
        <v>46</v>
      </c>
      <c r="F1124" t="s">
        <v>47</v>
      </c>
      <c r="G1124">
        <v>2</v>
      </c>
      <c r="H1124" s="3">
        <v>6.95</v>
      </c>
      <c r="I1124" s="3">
        <v>13.9</v>
      </c>
      <c r="J1124" t="s">
        <v>53</v>
      </c>
      <c r="K1124">
        <v>6</v>
      </c>
      <c r="L1124">
        <v>29</v>
      </c>
      <c r="M1124" t="s">
        <v>19</v>
      </c>
      <c r="N1124">
        <f t="shared" si="34"/>
        <v>13.9</v>
      </c>
      <c r="O1124" t="b">
        <f t="shared" si="35"/>
        <v>1</v>
      </c>
    </row>
    <row r="1125" spans="1:15">
      <c r="A1125" t="s">
        <v>1301</v>
      </c>
      <c r="B1125" s="2">
        <v>46127</v>
      </c>
      <c r="C1125" t="s">
        <v>352</v>
      </c>
      <c r="D1125" t="s">
        <v>15</v>
      </c>
      <c r="E1125" t="s">
        <v>26</v>
      </c>
      <c r="F1125" t="s">
        <v>17</v>
      </c>
      <c r="G1125">
        <v>2</v>
      </c>
      <c r="H1125" s="3">
        <v>11.5</v>
      </c>
      <c r="I1125" s="3">
        <v>23</v>
      </c>
      <c r="J1125" t="s">
        <v>27</v>
      </c>
      <c r="K1125">
        <v>5</v>
      </c>
      <c r="L1125">
        <v>10</v>
      </c>
      <c r="M1125" t="s">
        <v>19</v>
      </c>
      <c r="N1125">
        <f t="shared" si="34"/>
        <v>23</v>
      </c>
      <c r="O1125" t="b">
        <f t="shared" si="35"/>
        <v>1</v>
      </c>
    </row>
    <row r="1126" spans="1:15">
      <c r="A1126" t="s">
        <v>1302</v>
      </c>
      <c r="B1126" s="2">
        <v>46063</v>
      </c>
      <c r="C1126" t="s">
        <v>314</v>
      </c>
      <c r="D1126" t="s">
        <v>35</v>
      </c>
      <c r="E1126" t="s">
        <v>50</v>
      </c>
      <c r="F1126" t="s">
        <v>17</v>
      </c>
      <c r="G1126">
        <v>4</v>
      </c>
      <c r="H1126" s="3">
        <v>14.5</v>
      </c>
      <c r="I1126" s="3">
        <v>58</v>
      </c>
      <c r="J1126" t="s">
        <v>18</v>
      </c>
      <c r="K1126">
        <v>8</v>
      </c>
      <c r="L1126">
        <v>16</v>
      </c>
      <c r="M1126" t="s">
        <v>19</v>
      </c>
      <c r="N1126">
        <f t="shared" si="34"/>
        <v>58</v>
      </c>
      <c r="O1126" t="b">
        <f t="shared" si="35"/>
        <v>1</v>
      </c>
    </row>
    <row r="1127" spans="1:15">
      <c r="A1127" t="s">
        <v>1303</v>
      </c>
      <c r="B1127" s="2">
        <v>46136</v>
      </c>
      <c r="C1127" t="s">
        <v>202</v>
      </c>
      <c r="D1127" t="s">
        <v>15</v>
      </c>
      <c r="E1127" t="s">
        <v>46</v>
      </c>
      <c r="F1127" t="s">
        <v>47</v>
      </c>
      <c r="G1127">
        <v>2</v>
      </c>
      <c r="H1127" s="3">
        <v>6.95</v>
      </c>
      <c r="I1127" s="3">
        <v>13.9</v>
      </c>
      <c r="J1127" t="s">
        <v>27</v>
      </c>
      <c r="K1127">
        <v>2</v>
      </c>
      <c r="L1127">
        <v>11</v>
      </c>
      <c r="M1127" t="s">
        <v>19</v>
      </c>
      <c r="N1127">
        <f t="shared" si="34"/>
        <v>13.9</v>
      </c>
      <c r="O1127" t="b">
        <f t="shared" si="35"/>
        <v>1</v>
      </c>
    </row>
    <row r="1128" spans="1:15">
      <c r="A1128" t="s">
        <v>1304</v>
      </c>
      <c r="B1128" s="2">
        <v>46096</v>
      </c>
      <c r="C1128" t="s">
        <v>134</v>
      </c>
      <c r="D1128" t="s">
        <v>35</v>
      </c>
      <c r="E1128" t="s">
        <v>59</v>
      </c>
      <c r="F1128" t="s">
        <v>17</v>
      </c>
      <c r="G1128">
        <v>1</v>
      </c>
      <c r="H1128" s="3">
        <v>11.95</v>
      </c>
      <c r="I1128" s="3">
        <v>11.95</v>
      </c>
      <c r="J1128" t="s">
        <v>53</v>
      </c>
      <c r="K1128">
        <v>9</v>
      </c>
      <c r="L1128">
        <v>22</v>
      </c>
      <c r="M1128" t="s">
        <v>19</v>
      </c>
      <c r="N1128">
        <f t="shared" si="34"/>
        <v>11.95</v>
      </c>
      <c r="O1128" t="b">
        <f t="shared" si="35"/>
        <v>1</v>
      </c>
    </row>
    <row r="1129" spans="1:15">
      <c r="A1129" t="s">
        <v>1305</v>
      </c>
      <c r="B1129" s="2">
        <v>46070</v>
      </c>
      <c r="C1129" t="s">
        <v>14</v>
      </c>
      <c r="D1129" t="s">
        <v>15</v>
      </c>
      <c r="E1129" t="s">
        <v>46</v>
      </c>
      <c r="F1129" t="s">
        <v>47</v>
      </c>
      <c r="G1129">
        <v>1</v>
      </c>
      <c r="H1129" s="3">
        <v>6.95</v>
      </c>
      <c r="I1129" s="3">
        <v>6.95</v>
      </c>
      <c r="J1129" t="s">
        <v>27</v>
      </c>
      <c r="K1129">
        <v>14</v>
      </c>
      <c r="L1129">
        <v>18</v>
      </c>
      <c r="M1129" t="s">
        <v>19</v>
      </c>
      <c r="N1129">
        <f t="shared" si="34"/>
        <v>6.95</v>
      </c>
      <c r="O1129" t="b">
        <f t="shared" si="35"/>
        <v>1</v>
      </c>
    </row>
    <row r="1130" spans="1:15">
      <c r="A1130" t="s">
        <v>1306</v>
      </c>
      <c r="B1130" s="2">
        <v>46062</v>
      </c>
      <c r="C1130" t="s">
        <v>398</v>
      </c>
      <c r="D1130" t="s">
        <v>15</v>
      </c>
      <c r="E1130" t="s">
        <v>93</v>
      </c>
      <c r="F1130" t="s">
        <v>31</v>
      </c>
      <c r="G1130">
        <v>2</v>
      </c>
      <c r="H1130" s="3">
        <v>6.25</v>
      </c>
      <c r="I1130" s="3">
        <v>12.5</v>
      </c>
      <c r="J1130" t="s">
        <v>53</v>
      </c>
      <c r="K1130">
        <v>1</v>
      </c>
      <c r="L1130">
        <v>17</v>
      </c>
      <c r="M1130" t="s">
        <v>19</v>
      </c>
      <c r="N1130">
        <f t="shared" si="34"/>
        <v>12.5</v>
      </c>
      <c r="O1130" t="b">
        <f t="shared" si="35"/>
        <v>1</v>
      </c>
    </row>
    <row r="1131" spans="1:15">
      <c r="A1131" t="s">
        <v>1307</v>
      </c>
      <c r="B1131" s="2">
        <v>46039</v>
      </c>
      <c r="C1131" t="s">
        <v>471</v>
      </c>
      <c r="D1131" t="s">
        <v>15</v>
      </c>
      <c r="E1131" t="s">
        <v>103</v>
      </c>
      <c r="F1131" t="s">
        <v>23</v>
      </c>
      <c r="G1131">
        <v>4</v>
      </c>
      <c r="H1131" s="3">
        <v>3.25</v>
      </c>
      <c r="I1131" s="3">
        <v>13</v>
      </c>
      <c r="J1131" t="s">
        <v>27</v>
      </c>
      <c r="K1131">
        <v>18</v>
      </c>
      <c r="L1131">
        <v>5</v>
      </c>
      <c r="M1131" t="s">
        <v>19</v>
      </c>
      <c r="N1131">
        <f t="shared" si="34"/>
        <v>13</v>
      </c>
      <c r="O1131" t="b">
        <f t="shared" si="35"/>
        <v>1</v>
      </c>
    </row>
    <row r="1132" spans="1:15">
      <c r="A1132" t="s">
        <v>1308</v>
      </c>
      <c r="B1132" s="2">
        <v>46290</v>
      </c>
      <c r="C1132" t="s">
        <v>73</v>
      </c>
      <c r="D1132" t="s">
        <v>35</v>
      </c>
      <c r="E1132" t="s">
        <v>56</v>
      </c>
      <c r="F1132" t="s">
        <v>23</v>
      </c>
      <c r="G1132">
        <v>1</v>
      </c>
      <c r="H1132" s="3">
        <v>3.75</v>
      </c>
      <c r="I1132" s="3">
        <v>3.75</v>
      </c>
      <c r="J1132" t="s">
        <v>53</v>
      </c>
      <c r="K1132">
        <v>7</v>
      </c>
      <c r="L1132">
        <v>2</v>
      </c>
      <c r="M1132" t="s">
        <v>19</v>
      </c>
      <c r="N1132">
        <f t="shared" si="34"/>
        <v>3.75</v>
      </c>
      <c r="O1132" t="b">
        <f t="shared" si="35"/>
        <v>1</v>
      </c>
    </row>
    <row r="1133" spans="1:15">
      <c r="A1133" t="s">
        <v>1309</v>
      </c>
      <c r="B1133" s="2">
        <v>46081</v>
      </c>
      <c r="C1133" t="s">
        <v>493</v>
      </c>
      <c r="D1133" t="s">
        <v>35</v>
      </c>
      <c r="E1133" t="s">
        <v>50</v>
      </c>
      <c r="F1133" t="s">
        <v>17</v>
      </c>
      <c r="G1133">
        <v>1</v>
      </c>
      <c r="H1133" s="3">
        <v>14.5</v>
      </c>
      <c r="I1133" s="3">
        <v>14.5</v>
      </c>
      <c r="J1133" t="s">
        <v>53</v>
      </c>
      <c r="K1133">
        <v>23</v>
      </c>
      <c r="L1133">
        <v>18</v>
      </c>
      <c r="M1133" t="s">
        <v>19</v>
      </c>
      <c r="N1133">
        <f t="shared" si="34"/>
        <v>14.5</v>
      </c>
      <c r="O1133" t="b">
        <f t="shared" si="35"/>
        <v>1</v>
      </c>
    </row>
    <row r="1134" spans="1:15">
      <c r="A1134" t="s">
        <v>1310</v>
      </c>
      <c r="B1134" s="2">
        <v>46160</v>
      </c>
      <c r="C1134" t="s">
        <v>160</v>
      </c>
      <c r="D1134" t="s">
        <v>15</v>
      </c>
      <c r="E1134" t="s">
        <v>30</v>
      </c>
      <c r="F1134" t="s">
        <v>31</v>
      </c>
      <c r="G1134">
        <v>2</v>
      </c>
      <c r="H1134" s="3">
        <v>8.5</v>
      </c>
      <c r="I1134" s="3">
        <v>17</v>
      </c>
      <c r="J1134" t="s">
        <v>18</v>
      </c>
      <c r="K1134">
        <v>16</v>
      </c>
      <c r="L1134">
        <v>13</v>
      </c>
      <c r="M1134" t="s">
        <v>19</v>
      </c>
      <c r="N1134">
        <f t="shared" si="34"/>
        <v>17</v>
      </c>
      <c r="O1134" t="b">
        <f t="shared" si="35"/>
        <v>1</v>
      </c>
    </row>
    <row r="1135" spans="1:15">
      <c r="A1135" t="s">
        <v>1311</v>
      </c>
      <c r="B1135" s="2">
        <v>46227</v>
      </c>
      <c r="C1135" t="s">
        <v>120</v>
      </c>
      <c r="D1135" t="s">
        <v>35</v>
      </c>
      <c r="E1135" t="s">
        <v>70</v>
      </c>
      <c r="F1135" t="s">
        <v>17</v>
      </c>
      <c r="G1135">
        <v>2</v>
      </c>
      <c r="H1135" s="3">
        <v>12.5</v>
      </c>
      <c r="I1135" s="3">
        <v>25</v>
      </c>
      <c r="J1135" t="s">
        <v>53</v>
      </c>
      <c r="K1135">
        <v>9</v>
      </c>
      <c r="L1135">
        <v>29</v>
      </c>
      <c r="M1135" t="s">
        <v>19</v>
      </c>
      <c r="N1135">
        <f t="shared" si="34"/>
        <v>25</v>
      </c>
      <c r="O1135" t="b">
        <f t="shared" si="35"/>
        <v>1</v>
      </c>
    </row>
    <row r="1136" spans="1:15">
      <c r="A1136" t="s">
        <v>1312</v>
      </c>
      <c r="B1136" s="2">
        <v>46075</v>
      </c>
      <c r="C1136" t="s">
        <v>189</v>
      </c>
      <c r="D1136" t="s">
        <v>35</v>
      </c>
      <c r="E1136" t="s">
        <v>106</v>
      </c>
      <c r="F1136" t="s">
        <v>17</v>
      </c>
      <c r="G1136">
        <v>2</v>
      </c>
      <c r="H1136" s="3">
        <v>15.95</v>
      </c>
      <c r="I1136" s="3">
        <v>31.9</v>
      </c>
      <c r="J1136" t="s">
        <v>18</v>
      </c>
      <c r="K1136">
        <v>14</v>
      </c>
      <c r="L1136">
        <v>7</v>
      </c>
      <c r="M1136" t="s">
        <v>19</v>
      </c>
      <c r="N1136">
        <f t="shared" si="34"/>
        <v>31.9</v>
      </c>
      <c r="O1136" t="b">
        <f t="shared" si="35"/>
        <v>1</v>
      </c>
    </row>
    <row r="1137" spans="1:15">
      <c r="A1137" t="s">
        <v>1313</v>
      </c>
      <c r="B1137" s="2">
        <v>46162</v>
      </c>
      <c r="C1137" t="s">
        <v>82</v>
      </c>
      <c r="D1137" t="s">
        <v>35</v>
      </c>
      <c r="E1137" t="s">
        <v>56</v>
      </c>
      <c r="F1137" t="s">
        <v>23</v>
      </c>
      <c r="G1137">
        <v>1</v>
      </c>
      <c r="H1137" s="3">
        <v>3.75</v>
      </c>
      <c r="I1137" s="3">
        <v>3.75</v>
      </c>
      <c r="J1137" t="s">
        <v>18</v>
      </c>
      <c r="K1137">
        <v>19</v>
      </c>
      <c r="L1137">
        <v>13</v>
      </c>
      <c r="M1137" t="s">
        <v>19</v>
      </c>
      <c r="N1137">
        <f t="shared" si="34"/>
        <v>3.75</v>
      </c>
      <c r="O1137" t="b">
        <f t="shared" si="35"/>
        <v>1</v>
      </c>
    </row>
    <row r="1138" spans="1:15">
      <c r="A1138" t="s">
        <v>1314</v>
      </c>
      <c r="B1138" s="2">
        <v>46055</v>
      </c>
      <c r="C1138" t="s">
        <v>400</v>
      </c>
      <c r="D1138" t="s">
        <v>35</v>
      </c>
      <c r="E1138" t="s">
        <v>41</v>
      </c>
      <c r="F1138" t="s">
        <v>31</v>
      </c>
      <c r="G1138">
        <v>2</v>
      </c>
      <c r="H1138" s="3">
        <v>5.5</v>
      </c>
      <c r="I1138" s="3">
        <v>11</v>
      </c>
      <c r="J1138" t="s">
        <v>18</v>
      </c>
      <c r="K1138">
        <v>17</v>
      </c>
      <c r="L1138">
        <v>10</v>
      </c>
      <c r="M1138" t="s">
        <v>19</v>
      </c>
      <c r="N1138">
        <f t="shared" si="34"/>
        <v>11</v>
      </c>
      <c r="O1138" t="b">
        <f t="shared" si="35"/>
        <v>1</v>
      </c>
    </row>
    <row r="1139" spans="1:15">
      <c r="A1139" t="s">
        <v>1315</v>
      </c>
      <c r="B1139" s="2">
        <v>46038</v>
      </c>
      <c r="C1139" t="s">
        <v>288</v>
      </c>
      <c r="D1139" t="s">
        <v>15</v>
      </c>
      <c r="E1139" t="s">
        <v>106</v>
      </c>
      <c r="F1139" t="s">
        <v>17</v>
      </c>
      <c r="G1139">
        <v>1</v>
      </c>
      <c r="H1139" s="3">
        <v>15.95</v>
      </c>
      <c r="I1139" s="3">
        <v>15.95</v>
      </c>
      <c r="J1139" t="s">
        <v>18</v>
      </c>
      <c r="K1139">
        <v>7</v>
      </c>
      <c r="L1139">
        <v>8</v>
      </c>
      <c r="M1139" t="s">
        <v>19</v>
      </c>
      <c r="N1139">
        <f t="shared" si="34"/>
        <v>15.95</v>
      </c>
      <c r="O1139" t="b">
        <f t="shared" si="35"/>
        <v>1</v>
      </c>
    </row>
    <row r="1140" spans="1:15">
      <c r="A1140" t="s">
        <v>1316</v>
      </c>
      <c r="B1140" s="2">
        <v>46213</v>
      </c>
      <c r="C1140" t="s">
        <v>80</v>
      </c>
      <c r="D1140" t="s">
        <v>15</v>
      </c>
      <c r="E1140" t="s">
        <v>26</v>
      </c>
      <c r="F1140" t="s">
        <v>17</v>
      </c>
      <c r="G1140">
        <v>1</v>
      </c>
      <c r="H1140" s="3">
        <v>11.5</v>
      </c>
      <c r="I1140" s="3">
        <v>11.5</v>
      </c>
      <c r="J1140" t="s">
        <v>32</v>
      </c>
      <c r="K1140">
        <v>19</v>
      </c>
      <c r="L1140">
        <v>15</v>
      </c>
      <c r="M1140" t="s">
        <v>19</v>
      </c>
      <c r="N1140">
        <f t="shared" si="34"/>
        <v>11.5</v>
      </c>
      <c r="O1140" t="b">
        <f t="shared" si="35"/>
        <v>1</v>
      </c>
    </row>
    <row r="1141" spans="1:15">
      <c r="A1141" t="s">
        <v>1317</v>
      </c>
      <c r="B1141" s="2">
        <v>46142</v>
      </c>
      <c r="C1141" t="s">
        <v>195</v>
      </c>
      <c r="D1141" t="s">
        <v>35</v>
      </c>
      <c r="E1141" t="s">
        <v>56</v>
      </c>
      <c r="F1141" t="s">
        <v>23</v>
      </c>
      <c r="G1141">
        <v>1</v>
      </c>
      <c r="H1141" s="3">
        <v>3.75</v>
      </c>
      <c r="I1141" s="3">
        <v>3.75</v>
      </c>
      <c r="J1141" t="s">
        <v>18</v>
      </c>
      <c r="K1141">
        <v>4</v>
      </c>
      <c r="L1141">
        <v>8</v>
      </c>
      <c r="M1141" t="s">
        <v>19</v>
      </c>
      <c r="N1141">
        <f t="shared" si="34"/>
        <v>3.75</v>
      </c>
      <c r="O1141" t="b">
        <f t="shared" si="35"/>
        <v>1</v>
      </c>
    </row>
    <row r="1142" spans="1:15">
      <c r="A1142" t="s">
        <v>1318</v>
      </c>
      <c r="B1142" s="2">
        <v>46061</v>
      </c>
      <c r="C1142" t="s">
        <v>55</v>
      </c>
      <c r="D1142" t="s">
        <v>35</v>
      </c>
      <c r="E1142" t="s">
        <v>78</v>
      </c>
      <c r="F1142" t="s">
        <v>47</v>
      </c>
      <c r="G1142">
        <v>1</v>
      </c>
      <c r="H1142" s="3">
        <v>7.25</v>
      </c>
      <c r="I1142" s="3">
        <v>7.25</v>
      </c>
      <c r="J1142" t="s">
        <v>18</v>
      </c>
      <c r="K1142">
        <v>16</v>
      </c>
      <c r="L1142">
        <v>20</v>
      </c>
      <c r="M1142" t="s">
        <v>19</v>
      </c>
      <c r="N1142">
        <f t="shared" si="34"/>
        <v>7.25</v>
      </c>
      <c r="O1142" t="b">
        <f t="shared" si="35"/>
        <v>1</v>
      </c>
    </row>
    <row r="1143" spans="1:15">
      <c r="A1143" t="s">
        <v>1319</v>
      </c>
      <c r="B1143" s="2">
        <v>46163</v>
      </c>
      <c r="C1143" t="s">
        <v>381</v>
      </c>
      <c r="D1143" t="s">
        <v>35</v>
      </c>
      <c r="E1143" t="s">
        <v>106</v>
      </c>
      <c r="F1143" t="s">
        <v>17</v>
      </c>
      <c r="G1143">
        <v>2</v>
      </c>
      <c r="H1143" s="3">
        <v>15.95</v>
      </c>
      <c r="I1143" s="3">
        <v>31.9</v>
      </c>
      <c r="J1143" t="s">
        <v>27</v>
      </c>
      <c r="K1143">
        <v>13</v>
      </c>
      <c r="L1143">
        <v>21</v>
      </c>
      <c r="M1143" t="s">
        <v>19</v>
      </c>
      <c r="N1143">
        <f t="shared" si="34"/>
        <v>31.9</v>
      </c>
      <c r="O1143" t="b">
        <f t="shared" si="35"/>
        <v>1</v>
      </c>
    </row>
    <row r="1144" spans="1:15">
      <c r="A1144" t="s">
        <v>1320</v>
      </c>
      <c r="B1144" s="2">
        <v>46033</v>
      </c>
      <c r="C1144" t="s">
        <v>58</v>
      </c>
      <c r="D1144" t="s">
        <v>15</v>
      </c>
      <c r="E1144" t="s">
        <v>96</v>
      </c>
      <c r="F1144" t="s">
        <v>47</v>
      </c>
      <c r="G1144">
        <v>1</v>
      </c>
      <c r="H1144" s="3">
        <v>5.75</v>
      </c>
      <c r="I1144" s="3">
        <v>5.75</v>
      </c>
      <c r="J1144" t="s">
        <v>27</v>
      </c>
      <c r="K1144">
        <v>17</v>
      </c>
      <c r="L1144">
        <v>23</v>
      </c>
      <c r="M1144" t="s">
        <v>19</v>
      </c>
      <c r="N1144">
        <f t="shared" si="34"/>
        <v>5.75</v>
      </c>
      <c r="O1144" t="b">
        <f t="shared" si="35"/>
        <v>1</v>
      </c>
    </row>
    <row r="1145" spans="1:15">
      <c r="A1145" t="s">
        <v>1321</v>
      </c>
      <c r="B1145" s="2">
        <v>46031</v>
      </c>
      <c r="C1145" t="s">
        <v>352</v>
      </c>
      <c r="D1145" t="s">
        <v>15</v>
      </c>
      <c r="E1145" t="s">
        <v>126</v>
      </c>
      <c r="F1145" t="s">
        <v>31</v>
      </c>
      <c r="G1145">
        <v>1</v>
      </c>
      <c r="H1145" s="3">
        <v>7.95</v>
      </c>
      <c r="I1145" s="3">
        <v>0</v>
      </c>
      <c r="J1145" t="s">
        <v>18</v>
      </c>
      <c r="K1145">
        <v>12</v>
      </c>
      <c r="L1145">
        <v>17</v>
      </c>
      <c r="M1145" t="s">
        <v>152</v>
      </c>
      <c r="N1145">
        <f t="shared" si="34"/>
        <v>7.95</v>
      </c>
      <c r="O1145" t="b">
        <f t="shared" si="35"/>
        <v>1</v>
      </c>
    </row>
    <row r="1146" spans="1:15">
      <c r="A1146" t="s">
        <v>1322</v>
      </c>
      <c r="B1146" s="2">
        <v>46183</v>
      </c>
      <c r="C1146" t="s">
        <v>297</v>
      </c>
      <c r="D1146" t="s">
        <v>35</v>
      </c>
      <c r="E1146" t="s">
        <v>126</v>
      </c>
      <c r="F1146" t="s">
        <v>31</v>
      </c>
      <c r="G1146">
        <v>2</v>
      </c>
      <c r="H1146" s="3">
        <v>7.95</v>
      </c>
      <c r="I1146" s="3">
        <v>15.9</v>
      </c>
      <c r="J1146" t="s">
        <v>27</v>
      </c>
      <c r="K1146">
        <v>30</v>
      </c>
      <c r="L1146">
        <v>11</v>
      </c>
      <c r="M1146" t="s">
        <v>19</v>
      </c>
      <c r="N1146">
        <f t="shared" si="34"/>
        <v>15.9</v>
      </c>
      <c r="O1146" t="b">
        <f t="shared" si="35"/>
        <v>1</v>
      </c>
    </row>
    <row r="1147" spans="1:15">
      <c r="A1147" t="s">
        <v>1323</v>
      </c>
      <c r="B1147" s="2">
        <v>46214</v>
      </c>
      <c r="C1147" t="s">
        <v>95</v>
      </c>
      <c r="D1147" t="s">
        <v>35</v>
      </c>
      <c r="E1147" t="s">
        <v>16</v>
      </c>
      <c r="F1147" t="s">
        <v>17</v>
      </c>
      <c r="G1147">
        <v>1</v>
      </c>
      <c r="H1147" s="3">
        <v>9.9499999999999993</v>
      </c>
      <c r="I1147" s="3">
        <v>9.9499999999999993</v>
      </c>
      <c r="J1147" t="s">
        <v>27</v>
      </c>
      <c r="K1147">
        <v>5</v>
      </c>
      <c r="L1147">
        <v>20</v>
      </c>
      <c r="M1147" t="s">
        <v>19</v>
      </c>
      <c r="N1147">
        <f t="shared" si="34"/>
        <v>9.9499999999999993</v>
      </c>
      <c r="O1147" t="b">
        <f t="shared" si="35"/>
        <v>1</v>
      </c>
    </row>
    <row r="1148" spans="1:15">
      <c r="A1148" t="s">
        <v>1324</v>
      </c>
      <c r="B1148" s="2">
        <v>46188</v>
      </c>
      <c r="C1148" t="s">
        <v>55</v>
      </c>
      <c r="D1148" t="s">
        <v>35</v>
      </c>
      <c r="E1148" t="s">
        <v>16</v>
      </c>
      <c r="F1148" t="s">
        <v>17</v>
      </c>
      <c r="G1148">
        <v>1</v>
      </c>
      <c r="H1148" s="3">
        <v>9.9499999999999993</v>
      </c>
      <c r="I1148" s="3">
        <v>9.9499999999999993</v>
      </c>
      <c r="J1148" t="s">
        <v>53</v>
      </c>
      <c r="K1148">
        <v>27</v>
      </c>
      <c r="L1148">
        <v>18</v>
      </c>
      <c r="M1148" t="s">
        <v>19</v>
      </c>
      <c r="N1148">
        <f t="shared" si="34"/>
        <v>9.9499999999999993</v>
      </c>
      <c r="O1148" t="b">
        <f t="shared" si="35"/>
        <v>1</v>
      </c>
    </row>
    <row r="1149" spans="1:15">
      <c r="A1149" t="s">
        <v>1325</v>
      </c>
      <c r="B1149" s="2">
        <v>46025</v>
      </c>
      <c r="C1149" t="s">
        <v>431</v>
      </c>
      <c r="D1149" t="s">
        <v>35</v>
      </c>
      <c r="E1149" t="s">
        <v>83</v>
      </c>
      <c r="F1149" t="s">
        <v>17</v>
      </c>
      <c r="G1149">
        <v>1</v>
      </c>
      <c r="H1149" s="3">
        <v>13.5</v>
      </c>
      <c r="I1149" s="3">
        <v>13.5</v>
      </c>
      <c r="J1149" t="s">
        <v>27</v>
      </c>
      <c r="K1149">
        <v>3</v>
      </c>
      <c r="L1149">
        <v>9</v>
      </c>
      <c r="M1149" t="s">
        <v>19</v>
      </c>
      <c r="N1149">
        <f t="shared" si="34"/>
        <v>13.5</v>
      </c>
      <c r="O1149" t="b">
        <f t="shared" si="35"/>
        <v>1</v>
      </c>
    </row>
    <row r="1150" spans="1:15">
      <c r="A1150" t="s">
        <v>1326</v>
      </c>
      <c r="B1150" s="2">
        <v>46217</v>
      </c>
      <c r="C1150" t="s">
        <v>512</v>
      </c>
      <c r="D1150" t="s">
        <v>15</v>
      </c>
      <c r="E1150" t="s">
        <v>121</v>
      </c>
      <c r="F1150" t="s">
        <v>23</v>
      </c>
      <c r="G1150">
        <v>1</v>
      </c>
      <c r="H1150" s="3">
        <v>6.5</v>
      </c>
      <c r="I1150" s="3">
        <v>6.5</v>
      </c>
      <c r="J1150" t="s">
        <v>53</v>
      </c>
      <c r="K1150">
        <v>19</v>
      </c>
      <c r="L1150">
        <v>7</v>
      </c>
      <c r="M1150" t="s">
        <v>19</v>
      </c>
      <c r="N1150">
        <f t="shared" si="34"/>
        <v>6.5</v>
      </c>
      <c r="O1150" t="b">
        <f t="shared" si="35"/>
        <v>1</v>
      </c>
    </row>
    <row r="1151" spans="1:15">
      <c r="A1151" t="s">
        <v>1327</v>
      </c>
      <c r="B1151" s="2">
        <v>46234</v>
      </c>
      <c r="C1151" t="s">
        <v>279</v>
      </c>
      <c r="D1151" t="s">
        <v>35</v>
      </c>
      <c r="E1151" t="s">
        <v>22</v>
      </c>
      <c r="F1151" t="s">
        <v>23</v>
      </c>
      <c r="G1151">
        <v>1</v>
      </c>
      <c r="H1151" s="3">
        <v>3.1</v>
      </c>
      <c r="I1151" s="3">
        <v>3.1</v>
      </c>
      <c r="J1151" t="s">
        <v>18</v>
      </c>
      <c r="K1151">
        <v>16</v>
      </c>
      <c r="L1151">
        <v>16</v>
      </c>
      <c r="M1151" t="s">
        <v>19</v>
      </c>
      <c r="N1151">
        <f t="shared" si="34"/>
        <v>3.1</v>
      </c>
      <c r="O1151" t="b">
        <f t="shared" si="35"/>
        <v>1</v>
      </c>
    </row>
    <row r="1152" spans="1:15">
      <c r="A1152" t="s">
        <v>1328</v>
      </c>
      <c r="B1152" s="2">
        <v>46166</v>
      </c>
      <c r="C1152" t="s">
        <v>165</v>
      </c>
      <c r="D1152" t="s">
        <v>15</v>
      </c>
      <c r="E1152" t="s">
        <v>39</v>
      </c>
      <c r="F1152" t="s">
        <v>17</v>
      </c>
      <c r="G1152">
        <v>1</v>
      </c>
      <c r="H1152" s="3">
        <v>12.95</v>
      </c>
      <c r="I1152" s="3">
        <v>12.95</v>
      </c>
      <c r="J1152" t="s">
        <v>53</v>
      </c>
      <c r="K1152">
        <v>27</v>
      </c>
      <c r="L1152">
        <v>14</v>
      </c>
      <c r="M1152" t="s">
        <v>19</v>
      </c>
      <c r="N1152">
        <f t="shared" si="34"/>
        <v>12.95</v>
      </c>
      <c r="O1152" t="b">
        <f t="shared" si="35"/>
        <v>1</v>
      </c>
    </row>
    <row r="1153" spans="1:15">
      <c r="A1153" t="s">
        <v>1329</v>
      </c>
      <c r="B1153" s="2">
        <v>46128</v>
      </c>
      <c r="C1153" t="s">
        <v>381</v>
      </c>
      <c r="D1153" t="s">
        <v>35</v>
      </c>
      <c r="E1153" t="s">
        <v>83</v>
      </c>
      <c r="F1153" t="s">
        <v>17</v>
      </c>
      <c r="G1153">
        <v>1</v>
      </c>
      <c r="H1153" s="3">
        <v>13.5</v>
      </c>
      <c r="I1153" s="3">
        <v>13.5</v>
      </c>
      <c r="J1153" t="s">
        <v>18</v>
      </c>
      <c r="K1153">
        <v>7</v>
      </c>
      <c r="L1153">
        <v>14</v>
      </c>
      <c r="M1153" t="s">
        <v>19</v>
      </c>
      <c r="N1153">
        <f t="shared" si="34"/>
        <v>13.5</v>
      </c>
      <c r="O1153" t="b">
        <f t="shared" si="35"/>
        <v>1</v>
      </c>
    </row>
    <row r="1154" spans="1:15">
      <c r="A1154" t="s">
        <v>1330</v>
      </c>
      <c r="B1154" s="2">
        <v>46220</v>
      </c>
      <c r="C1154" t="s">
        <v>45</v>
      </c>
      <c r="D1154" t="s">
        <v>15</v>
      </c>
      <c r="E1154" t="s">
        <v>70</v>
      </c>
      <c r="F1154" t="s">
        <v>17</v>
      </c>
      <c r="G1154">
        <v>2</v>
      </c>
      <c r="H1154" s="3">
        <v>12.5</v>
      </c>
      <c r="I1154" s="3">
        <v>-25</v>
      </c>
      <c r="J1154" t="s">
        <v>53</v>
      </c>
      <c r="K1154">
        <v>25</v>
      </c>
      <c r="L1154">
        <v>5</v>
      </c>
      <c r="M1154" t="s">
        <v>62</v>
      </c>
      <c r="N1154">
        <f t="shared" ref="N1154:N1217" si="36">G1154*H1154</f>
        <v>25</v>
      </c>
      <c r="O1154" t="b">
        <f t="shared" ref="O1154:O1217" si="37">OR(AND(M1154="Completed",I1154=N1154),AND(M1154="Refunded",ABS(I1154)=N1154),AND(M1154="Cancelled",I1154=0))</f>
        <v>1</v>
      </c>
    </row>
    <row r="1155" spans="1:15">
      <c r="A1155" t="s">
        <v>1331</v>
      </c>
      <c r="B1155" s="2">
        <v>46255</v>
      </c>
      <c r="C1155" t="s">
        <v>82</v>
      </c>
      <c r="D1155" t="s">
        <v>35</v>
      </c>
      <c r="E1155" t="s">
        <v>50</v>
      </c>
      <c r="F1155" t="s">
        <v>17</v>
      </c>
      <c r="G1155">
        <v>1</v>
      </c>
      <c r="H1155" s="3">
        <v>14.5</v>
      </c>
      <c r="I1155" s="3">
        <v>14.5</v>
      </c>
      <c r="J1155" t="s">
        <v>53</v>
      </c>
      <c r="K1155">
        <v>13</v>
      </c>
      <c r="L1155">
        <v>17</v>
      </c>
      <c r="M1155" t="s">
        <v>19</v>
      </c>
      <c r="N1155">
        <f t="shared" si="36"/>
        <v>14.5</v>
      </c>
      <c r="O1155" t="b">
        <f t="shared" si="37"/>
        <v>1</v>
      </c>
    </row>
    <row r="1156" spans="1:15">
      <c r="A1156" t="s">
        <v>1332</v>
      </c>
      <c r="B1156" s="2">
        <v>46285</v>
      </c>
      <c r="C1156" t="s">
        <v>165</v>
      </c>
      <c r="D1156" t="s">
        <v>15</v>
      </c>
      <c r="E1156" t="s">
        <v>39</v>
      </c>
      <c r="F1156" t="s">
        <v>17</v>
      </c>
      <c r="G1156">
        <v>1</v>
      </c>
      <c r="H1156" s="3">
        <v>12.95</v>
      </c>
      <c r="I1156" s="3">
        <v>12.95</v>
      </c>
      <c r="J1156" t="s">
        <v>18</v>
      </c>
      <c r="K1156">
        <v>19</v>
      </c>
      <c r="L1156">
        <v>10</v>
      </c>
      <c r="M1156" t="s">
        <v>19</v>
      </c>
      <c r="N1156">
        <f t="shared" si="36"/>
        <v>12.95</v>
      </c>
      <c r="O1156" t="b">
        <f t="shared" si="37"/>
        <v>1</v>
      </c>
    </row>
    <row r="1157" spans="1:15">
      <c r="A1157" t="s">
        <v>1333</v>
      </c>
      <c r="B1157" s="2">
        <v>46098</v>
      </c>
      <c r="C1157" t="s">
        <v>314</v>
      </c>
      <c r="D1157" t="s">
        <v>35</v>
      </c>
      <c r="E1157" t="s">
        <v>59</v>
      </c>
      <c r="F1157" t="s">
        <v>17</v>
      </c>
      <c r="G1157">
        <v>1</v>
      </c>
      <c r="H1157" s="3">
        <v>11.95</v>
      </c>
      <c r="I1157" s="3">
        <v>11.95</v>
      </c>
      <c r="J1157" t="s">
        <v>27</v>
      </c>
      <c r="K1157">
        <v>6</v>
      </c>
      <c r="L1157">
        <v>6</v>
      </c>
      <c r="M1157" t="s">
        <v>19</v>
      </c>
      <c r="N1157">
        <f t="shared" si="36"/>
        <v>11.95</v>
      </c>
      <c r="O1157" t="b">
        <f t="shared" si="37"/>
        <v>1</v>
      </c>
    </row>
    <row r="1158" spans="1:15">
      <c r="A1158" t="s">
        <v>1334</v>
      </c>
      <c r="B1158" s="2">
        <v>46266</v>
      </c>
      <c r="C1158" t="s">
        <v>180</v>
      </c>
      <c r="D1158" t="s">
        <v>35</v>
      </c>
      <c r="E1158" t="s">
        <v>41</v>
      </c>
      <c r="F1158" t="s">
        <v>31</v>
      </c>
      <c r="G1158">
        <v>1</v>
      </c>
      <c r="H1158" s="3">
        <v>5.5</v>
      </c>
      <c r="I1158" s="3">
        <v>5.5</v>
      </c>
      <c r="J1158" t="s">
        <v>18</v>
      </c>
      <c r="K1158">
        <v>5</v>
      </c>
      <c r="L1158">
        <v>25</v>
      </c>
      <c r="M1158" t="s">
        <v>19</v>
      </c>
      <c r="N1158">
        <f t="shared" si="36"/>
        <v>5.5</v>
      </c>
      <c r="O1158" t="b">
        <f t="shared" si="37"/>
        <v>1</v>
      </c>
    </row>
    <row r="1159" spans="1:15">
      <c r="A1159" t="s">
        <v>1335</v>
      </c>
      <c r="B1159" s="2">
        <v>46243</v>
      </c>
      <c r="C1159" t="s">
        <v>381</v>
      </c>
      <c r="D1159" t="s">
        <v>35</v>
      </c>
      <c r="E1159" t="s">
        <v>41</v>
      </c>
      <c r="F1159" t="s">
        <v>31</v>
      </c>
      <c r="G1159">
        <v>1</v>
      </c>
      <c r="H1159" s="3">
        <v>5.5</v>
      </c>
      <c r="I1159" s="3">
        <v>5.5</v>
      </c>
      <c r="J1159" t="s">
        <v>18</v>
      </c>
      <c r="K1159">
        <v>21</v>
      </c>
      <c r="L1159">
        <v>23</v>
      </c>
      <c r="M1159" t="s">
        <v>19</v>
      </c>
      <c r="N1159">
        <f t="shared" si="36"/>
        <v>5.5</v>
      </c>
      <c r="O1159" t="b">
        <f t="shared" si="37"/>
        <v>1</v>
      </c>
    </row>
    <row r="1160" spans="1:15">
      <c r="A1160" t="s">
        <v>1336</v>
      </c>
      <c r="B1160" s="2">
        <v>46239</v>
      </c>
      <c r="C1160" t="s">
        <v>429</v>
      </c>
      <c r="D1160" t="s">
        <v>15</v>
      </c>
      <c r="E1160" t="s">
        <v>106</v>
      </c>
      <c r="F1160" t="s">
        <v>17</v>
      </c>
      <c r="G1160">
        <v>2</v>
      </c>
      <c r="H1160" s="3">
        <v>15.95</v>
      </c>
      <c r="I1160" s="3">
        <v>31.9</v>
      </c>
      <c r="J1160" t="s">
        <v>18</v>
      </c>
      <c r="K1160">
        <v>4</v>
      </c>
      <c r="L1160">
        <v>10</v>
      </c>
      <c r="M1160" t="s">
        <v>19</v>
      </c>
      <c r="N1160">
        <f t="shared" si="36"/>
        <v>31.9</v>
      </c>
      <c r="O1160" t="b">
        <f t="shared" si="37"/>
        <v>1</v>
      </c>
    </row>
    <row r="1161" spans="1:15">
      <c r="A1161" t="s">
        <v>1337</v>
      </c>
      <c r="B1161" s="2">
        <v>46150</v>
      </c>
      <c r="C1161" t="s">
        <v>169</v>
      </c>
      <c r="D1161" t="s">
        <v>35</v>
      </c>
      <c r="E1161" t="s">
        <v>83</v>
      </c>
      <c r="F1161" t="s">
        <v>17</v>
      </c>
      <c r="G1161">
        <v>3</v>
      </c>
      <c r="H1161" s="3">
        <v>13.5</v>
      </c>
      <c r="I1161" s="3">
        <v>40.5</v>
      </c>
      <c r="J1161" t="s">
        <v>27</v>
      </c>
      <c r="K1161">
        <v>9</v>
      </c>
      <c r="L1161">
        <v>15</v>
      </c>
      <c r="M1161" t="s">
        <v>19</v>
      </c>
      <c r="N1161">
        <f t="shared" si="36"/>
        <v>40.5</v>
      </c>
      <c r="O1161" t="b">
        <f t="shared" si="37"/>
        <v>1</v>
      </c>
    </row>
    <row r="1162" spans="1:15">
      <c r="A1162" t="s">
        <v>1338</v>
      </c>
      <c r="B1162" s="2">
        <v>46295</v>
      </c>
      <c r="C1162" t="s">
        <v>421</v>
      </c>
      <c r="D1162" t="s">
        <v>15</v>
      </c>
      <c r="E1162" t="s">
        <v>46</v>
      </c>
      <c r="F1162" t="s">
        <v>47</v>
      </c>
      <c r="G1162">
        <v>1</v>
      </c>
      <c r="H1162" s="3">
        <v>6.95</v>
      </c>
      <c r="I1162" s="3">
        <v>6.95</v>
      </c>
      <c r="J1162" t="s">
        <v>27</v>
      </c>
      <c r="K1162">
        <v>23</v>
      </c>
      <c r="L1162">
        <v>18</v>
      </c>
      <c r="M1162" t="s">
        <v>19</v>
      </c>
      <c r="N1162">
        <f t="shared" si="36"/>
        <v>6.95</v>
      </c>
      <c r="O1162" t="b">
        <f t="shared" si="37"/>
        <v>1</v>
      </c>
    </row>
    <row r="1163" spans="1:15">
      <c r="A1163" t="s">
        <v>1339</v>
      </c>
      <c r="B1163" s="2">
        <v>46128</v>
      </c>
      <c r="C1163" t="s">
        <v>175</v>
      </c>
      <c r="D1163" t="s">
        <v>15</v>
      </c>
      <c r="E1163" t="s">
        <v>126</v>
      </c>
      <c r="F1163" t="s">
        <v>31</v>
      </c>
      <c r="G1163">
        <v>2</v>
      </c>
      <c r="H1163" s="3">
        <v>7.95</v>
      </c>
      <c r="I1163" s="3">
        <v>15.9</v>
      </c>
      <c r="J1163" t="s">
        <v>27</v>
      </c>
      <c r="K1163">
        <v>24</v>
      </c>
      <c r="L1163">
        <v>26</v>
      </c>
      <c r="M1163" t="s">
        <v>19</v>
      </c>
      <c r="N1163">
        <f t="shared" si="36"/>
        <v>15.9</v>
      </c>
      <c r="O1163" t="b">
        <f t="shared" si="37"/>
        <v>1</v>
      </c>
    </row>
    <row r="1164" spans="1:15">
      <c r="A1164" t="s">
        <v>1340</v>
      </c>
      <c r="B1164" s="2">
        <v>46117</v>
      </c>
      <c r="C1164" t="s">
        <v>134</v>
      </c>
      <c r="D1164" t="s">
        <v>35</v>
      </c>
      <c r="E1164" t="s">
        <v>103</v>
      </c>
      <c r="F1164" t="s">
        <v>23</v>
      </c>
      <c r="G1164">
        <v>2</v>
      </c>
      <c r="H1164" s="3">
        <v>3.25</v>
      </c>
      <c r="I1164" s="3">
        <v>6.5</v>
      </c>
      <c r="J1164" t="s">
        <v>27</v>
      </c>
      <c r="K1164">
        <v>3</v>
      </c>
      <c r="L1164">
        <v>13</v>
      </c>
      <c r="M1164" t="s">
        <v>19</v>
      </c>
      <c r="N1164">
        <f t="shared" si="36"/>
        <v>6.5</v>
      </c>
      <c r="O1164" t="b">
        <f t="shared" si="37"/>
        <v>1</v>
      </c>
    </row>
    <row r="1165" spans="1:15">
      <c r="A1165" t="s">
        <v>1341</v>
      </c>
      <c r="B1165" s="2">
        <v>46193</v>
      </c>
      <c r="C1165" t="s">
        <v>286</v>
      </c>
      <c r="D1165" t="s">
        <v>35</v>
      </c>
      <c r="E1165" t="s">
        <v>103</v>
      </c>
      <c r="F1165" t="s">
        <v>23</v>
      </c>
      <c r="G1165">
        <v>1</v>
      </c>
      <c r="H1165" s="3">
        <v>3.25</v>
      </c>
      <c r="I1165" s="3">
        <v>3.25</v>
      </c>
      <c r="J1165" t="s">
        <v>53</v>
      </c>
      <c r="K1165">
        <v>6</v>
      </c>
      <c r="L1165">
        <v>18</v>
      </c>
      <c r="M1165" t="s">
        <v>19</v>
      </c>
      <c r="N1165">
        <f t="shared" si="36"/>
        <v>3.25</v>
      </c>
      <c r="O1165" t="b">
        <f t="shared" si="37"/>
        <v>1</v>
      </c>
    </row>
    <row r="1166" spans="1:15">
      <c r="A1166" t="s">
        <v>1342</v>
      </c>
      <c r="B1166" s="2">
        <v>46062</v>
      </c>
      <c r="C1166" t="s">
        <v>391</v>
      </c>
      <c r="D1166" t="s">
        <v>15</v>
      </c>
      <c r="E1166" t="s">
        <v>30</v>
      </c>
      <c r="F1166" t="s">
        <v>31</v>
      </c>
      <c r="G1166">
        <v>3</v>
      </c>
      <c r="H1166" s="3">
        <v>8.5</v>
      </c>
      <c r="I1166" s="3">
        <v>25.5</v>
      </c>
      <c r="J1166" t="s">
        <v>27</v>
      </c>
      <c r="K1166">
        <v>16</v>
      </c>
      <c r="L1166">
        <v>28</v>
      </c>
      <c r="M1166" t="s">
        <v>19</v>
      </c>
      <c r="N1166">
        <f t="shared" si="36"/>
        <v>25.5</v>
      </c>
      <c r="O1166" t="b">
        <f t="shared" si="37"/>
        <v>1</v>
      </c>
    </row>
    <row r="1167" spans="1:15">
      <c r="A1167" t="s">
        <v>1343</v>
      </c>
      <c r="B1167" s="2">
        <v>46031</v>
      </c>
      <c r="C1167" t="s">
        <v>228</v>
      </c>
      <c r="D1167" t="s">
        <v>35</v>
      </c>
      <c r="E1167" t="s">
        <v>22</v>
      </c>
      <c r="F1167" t="s">
        <v>23</v>
      </c>
      <c r="G1167">
        <v>1</v>
      </c>
      <c r="H1167" s="3">
        <v>3.1</v>
      </c>
      <c r="I1167" s="3">
        <v>0</v>
      </c>
      <c r="J1167" t="s">
        <v>32</v>
      </c>
      <c r="K1167">
        <v>5</v>
      </c>
      <c r="L1167">
        <v>13</v>
      </c>
      <c r="M1167" t="s">
        <v>152</v>
      </c>
      <c r="N1167">
        <f t="shared" si="36"/>
        <v>3.1</v>
      </c>
      <c r="O1167" t="b">
        <f t="shared" si="37"/>
        <v>1</v>
      </c>
    </row>
    <row r="1168" spans="1:15">
      <c r="A1168" t="s">
        <v>1344</v>
      </c>
      <c r="B1168" s="2">
        <v>46074</v>
      </c>
      <c r="C1168" t="s">
        <v>425</v>
      </c>
      <c r="D1168" t="s">
        <v>15</v>
      </c>
      <c r="E1168" t="s">
        <v>103</v>
      </c>
      <c r="F1168" t="s">
        <v>23</v>
      </c>
      <c r="G1168">
        <v>2</v>
      </c>
      <c r="H1168" s="3">
        <v>3.25</v>
      </c>
      <c r="I1168" s="3">
        <v>6.5</v>
      </c>
      <c r="J1168" t="s">
        <v>18</v>
      </c>
      <c r="K1168">
        <v>12</v>
      </c>
      <c r="L1168">
        <v>8</v>
      </c>
      <c r="M1168" t="s">
        <v>19</v>
      </c>
      <c r="N1168">
        <f t="shared" si="36"/>
        <v>6.5</v>
      </c>
      <c r="O1168" t="b">
        <f t="shared" si="37"/>
        <v>1</v>
      </c>
    </row>
    <row r="1169" spans="1:15">
      <c r="A1169" t="s">
        <v>1345</v>
      </c>
      <c r="B1169" s="2">
        <v>46203</v>
      </c>
      <c r="C1169" t="s">
        <v>312</v>
      </c>
      <c r="D1169" t="s">
        <v>15</v>
      </c>
      <c r="E1169" t="s">
        <v>56</v>
      </c>
      <c r="F1169" t="s">
        <v>23</v>
      </c>
      <c r="G1169">
        <v>1</v>
      </c>
      <c r="H1169" s="3">
        <v>3.75</v>
      </c>
      <c r="I1169" s="3">
        <v>3.75</v>
      </c>
      <c r="J1169" t="s">
        <v>18</v>
      </c>
      <c r="K1169">
        <v>22</v>
      </c>
      <c r="L1169">
        <v>15</v>
      </c>
      <c r="M1169" t="s">
        <v>19</v>
      </c>
      <c r="N1169">
        <f t="shared" si="36"/>
        <v>3.75</v>
      </c>
      <c r="O1169" t="b">
        <f t="shared" si="37"/>
        <v>1</v>
      </c>
    </row>
    <row r="1170" spans="1:15">
      <c r="A1170" t="s">
        <v>1346</v>
      </c>
      <c r="B1170" s="2">
        <v>46033</v>
      </c>
      <c r="C1170" t="s">
        <v>165</v>
      </c>
      <c r="D1170" t="s">
        <v>15</v>
      </c>
      <c r="E1170" t="s">
        <v>50</v>
      </c>
      <c r="F1170" t="s">
        <v>17</v>
      </c>
      <c r="G1170">
        <v>1</v>
      </c>
      <c r="H1170" s="3">
        <v>14.5</v>
      </c>
      <c r="I1170" s="3">
        <v>14.5</v>
      </c>
      <c r="J1170" t="s">
        <v>18</v>
      </c>
      <c r="K1170">
        <v>14</v>
      </c>
      <c r="L1170">
        <v>16</v>
      </c>
      <c r="M1170" t="s">
        <v>19</v>
      </c>
      <c r="N1170">
        <f t="shared" si="36"/>
        <v>14.5</v>
      </c>
      <c r="O1170" t="b">
        <f t="shared" si="37"/>
        <v>1</v>
      </c>
    </row>
    <row r="1171" spans="1:15">
      <c r="A1171" t="s">
        <v>1347</v>
      </c>
      <c r="B1171" s="2">
        <v>46068</v>
      </c>
      <c r="C1171" t="s">
        <v>128</v>
      </c>
      <c r="D1171" t="s">
        <v>15</v>
      </c>
      <c r="E1171" t="s">
        <v>59</v>
      </c>
      <c r="F1171" t="s">
        <v>17</v>
      </c>
      <c r="G1171">
        <v>3</v>
      </c>
      <c r="H1171" s="3">
        <v>11.95</v>
      </c>
      <c r="I1171" s="3">
        <v>35.85</v>
      </c>
      <c r="J1171" t="s">
        <v>18</v>
      </c>
      <c r="K1171">
        <v>22</v>
      </c>
      <c r="L1171">
        <v>25</v>
      </c>
      <c r="M1171" t="s">
        <v>19</v>
      </c>
      <c r="N1171">
        <f t="shared" si="36"/>
        <v>35.849999999999994</v>
      </c>
      <c r="O1171" t="b">
        <f t="shared" si="37"/>
        <v>1</v>
      </c>
    </row>
    <row r="1172" spans="1:15">
      <c r="A1172" t="s">
        <v>1348</v>
      </c>
      <c r="B1172" s="2">
        <v>46253</v>
      </c>
      <c r="C1172" t="s">
        <v>89</v>
      </c>
      <c r="D1172" t="s">
        <v>35</v>
      </c>
      <c r="E1172" t="s">
        <v>41</v>
      </c>
      <c r="F1172" t="s">
        <v>31</v>
      </c>
      <c r="G1172">
        <v>3</v>
      </c>
      <c r="H1172" s="3">
        <v>5.5</v>
      </c>
      <c r="I1172" s="3">
        <v>16.5</v>
      </c>
      <c r="J1172" t="s">
        <v>53</v>
      </c>
      <c r="K1172">
        <v>14</v>
      </c>
      <c r="L1172">
        <v>24</v>
      </c>
      <c r="M1172" t="s">
        <v>19</v>
      </c>
      <c r="N1172">
        <f t="shared" si="36"/>
        <v>16.5</v>
      </c>
      <c r="O1172" t="b">
        <f t="shared" si="37"/>
        <v>1</v>
      </c>
    </row>
    <row r="1173" spans="1:15">
      <c r="A1173" t="s">
        <v>1349</v>
      </c>
      <c r="B1173" s="2">
        <v>46164</v>
      </c>
      <c r="C1173" t="s">
        <v>391</v>
      </c>
      <c r="D1173" t="s">
        <v>15</v>
      </c>
      <c r="E1173" t="s">
        <v>22</v>
      </c>
      <c r="F1173" t="s">
        <v>23</v>
      </c>
      <c r="G1173">
        <v>2</v>
      </c>
      <c r="H1173" s="3">
        <v>3.1</v>
      </c>
      <c r="I1173" s="3">
        <v>6.2</v>
      </c>
      <c r="J1173" t="s">
        <v>18</v>
      </c>
      <c r="K1173">
        <v>4</v>
      </c>
      <c r="L1173">
        <v>5</v>
      </c>
      <c r="M1173" t="s">
        <v>19</v>
      </c>
      <c r="N1173">
        <f t="shared" si="36"/>
        <v>6.2</v>
      </c>
      <c r="O1173" t="b">
        <f t="shared" si="37"/>
        <v>1</v>
      </c>
    </row>
    <row r="1174" spans="1:15">
      <c r="A1174" t="s">
        <v>1350</v>
      </c>
      <c r="B1174" s="2">
        <v>46255</v>
      </c>
      <c r="C1174" t="s">
        <v>374</v>
      </c>
      <c r="D1174" t="s">
        <v>35</v>
      </c>
      <c r="E1174" t="s">
        <v>59</v>
      </c>
      <c r="F1174" t="s">
        <v>17</v>
      </c>
      <c r="G1174">
        <v>3</v>
      </c>
      <c r="H1174" s="3">
        <v>11.95</v>
      </c>
      <c r="I1174" s="3">
        <v>35.85</v>
      </c>
      <c r="J1174" t="s">
        <v>27</v>
      </c>
      <c r="K1174">
        <v>22</v>
      </c>
      <c r="L1174">
        <v>23</v>
      </c>
      <c r="M1174" t="s">
        <v>19</v>
      </c>
      <c r="N1174">
        <f t="shared" si="36"/>
        <v>35.849999999999994</v>
      </c>
      <c r="O1174" t="b">
        <f t="shared" si="37"/>
        <v>1</v>
      </c>
    </row>
    <row r="1175" spans="1:15">
      <c r="A1175" t="s">
        <v>1351</v>
      </c>
      <c r="B1175" s="2">
        <v>46171</v>
      </c>
      <c r="C1175" t="s">
        <v>112</v>
      </c>
      <c r="D1175" t="s">
        <v>35</v>
      </c>
      <c r="E1175" t="s">
        <v>126</v>
      </c>
      <c r="F1175" t="s">
        <v>31</v>
      </c>
      <c r="G1175">
        <v>1</v>
      </c>
      <c r="H1175" s="3">
        <v>7.95</v>
      </c>
      <c r="I1175" s="3">
        <v>7.95</v>
      </c>
      <c r="J1175" t="s">
        <v>27</v>
      </c>
      <c r="K1175">
        <v>26</v>
      </c>
      <c r="L1175">
        <v>18</v>
      </c>
      <c r="M1175" t="s">
        <v>19</v>
      </c>
      <c r="N1175">
        <f t="shared" si="36"/>
        <v>7.95</v>
      </c>
      <c r="O1175" t="b">
        <f t="shared" si="37"/>
        <v>1</v>
      </c>
    </row>
    <row r="1176" spans="1:15">
      <c r="A1176" t="s">
        <v>1352</v>
      </c>
      <c r="B1176" s="2">
        <v>46255</v>
      </c>
      <c r="C1176" t="s">
        <v>295</v>
      </c>
      <c r="D1176" t="s">
        <v>15</v>
      </c>
      <c r="E1176" t="s">
        <v>59</v>
      </c>
      <c r="F1176" t="s">
        <v>17</v>
      </c>
      <c r="G1176">
        <v>1</v>
      </c>
      <c r="H1176" s="3">
        <v>11.95</v>
      </c>
      <c r="I1176" s="3">
        <v>11.95</v>
      </c>
      <c r="J1176" t="s">
        <v>27</v>
      </c>
      <c r="K1176">
        <v>27</v>
      </c>
      <c r="L1176">
        <v>21</v>
      </c>
      <c r="M1176" t="s">
        <v>19</v>
      </c>
      <c r="N1176">
        <f t="shared" si="36"/>
        <v>11.95</v>
      </c>
      <c r="O1176" t="b">
        <f t="shared" si="37"/>
        <v>1</v>
      </c>
    </row>
    <row r="1177" spans="1:15">
      <c r="A1177" t="s">
        <v>1353</v>
      </c>
      <c r="B1177" s="2">
        <v>46151</v>
      </c>
      <c r="C1177" t="s">
        <v>312</v>
      </c>
      <c r="D1177" t="s">
        <v>15</v>
      </c>
      <c r="E1177" t="s">
        <v>36</v>
      </c>
      <c r="F1177" t="s">
        <v>23</v>
      </c>
      <c r="G1177">
        <v>1</v>
      </c>
      <c r="H1177" s="3">
        <v>2.8</v>
      </c>
      <c r="I1177" s="3">
        <v>2.8</v>
      </c>
      <c r="J1177" t="s">
        <v>27</v>
      </c>
      <c r="K1177">
        <v>23</v>
      </c>
      <c r="L1177">
        <v>9</v>
      </c>
      <c r="M1177" t="s">
        <v>19</v>
      </c>
      <c r="N1177">
        <f t="shared" si="36"/>
        <v>2.8</v>
      </c>
      <c r="O1177" t="b">
        <f t="shared" si="37"/>
        <v>1</v>
      </c>
    </row>
    <row r="1178" spans="1:15">
      <c r="A1178" t="s">
        <v>1354</v>
      </c>
      <c r="B1178" s="2">
        <v>46123</v>
      </c>
      <c r="C1178" t="s">
        <v>431</v>
      </c>
      <c r="D1178" t="s">
        <v>35</v>
      </c>
      <c r="E1178" t="s">
        <v>16</v>
      </c>
      <c r="F1178" t="s">
        <v>17</v>
      </c>
      <c r="G1178">
        <v>1</v>
      </c>
      <c r="H1178" s="3">
        <v>9.9499999999999993</v>
      </c>
      <c r="I1178" s="3">
        <v>9.9499999999999993</v>
      </c>
      <c r="J1178" t="s">
        <v>18</v>
      </c>
      <c r="K1178">
        <v>13</v>
      </c>
      <c r="L1178">
        <v>20</v>
      </c>
      <c r="M1178" t="s">
        <v>19</v>
      </c>
      <c r="N1178">
        <f t="shared" si="36"/>
        <v>9.9499999999999993</v>
      </c>
      <c r="O1178" t="b">
        <f t="shared" si="37"/>
        <v>1</v>
      </c>
    </row>
    <row r="1179" spans="1:15">
      <c r="A1179" t="s">
        <v>1355</v>
      </c>
      <c r="B1179" s="2">
        <v>46073</v>
      </c>
      <c r="C1179" t="s">
        <v>273</v>
      </c>
      <c r="D1179" t="s">
        <v>35</v>
      </c>
      <c r="E1179" t="s">
        <v>126</v>
      </c>
      <c r="F1179" t="s">
        <v>31</v>
      </c>
      <c r="G1179">
        <v>1</v>
      </c>
      <c r="H1179" s="3">
        <v>7.95</v>
      </c>
      <c r="I1179" s="3">
        <v>7.95</v>
      </c>
      <c r="J1179" t="s">
        <v>53</v>
      </c>
      <c r="K1179">
        <v>22</v>
      </c>
      <c r="L1179">
        <v>29</v>
      </c>
      <c r="M1179" t="s">
        <v>19</v>
      </c>
      <c r="N1179">
        <f t="shared" si="36"/>
        <v>7.95</v>
      </c>
      <c r="O1179" t="b">
        <f t="shared" si="37"/>
        <v>1</v>
      </c>
    </row>
    <row r="1180" spans="1:15">
      <c r="A1180" t="s">
        <v>1356</v>
      </c>
      <c r="B1180" s="2">
        <v>46094</v>
      </c>
      <c r="C1180" t="s">
        <v>158</v>
      </c>
      <c r="D1180" t="s">
        <v>35</v>
      </c>
      <c r="E1180" t="s">
        <v>50</v>
      </c>
      <c r="F1180" t="s">
        <v>17</v>
      </c>
      <c r="G1180">
        <v>1</v>
      </c>
      <c r="H1180" s="3">
        <v>14.5</v>
      </c>
      <c r="I1180" s="3">
        <v>14.5</v>
      </c>
      <c r="J1180" t="s">
        <v>53</v>
      </c>
      <c r="K1180">
        <v>19</v>
      </c>
      <c r="L1180">
        <v>19</v>
      </c>
      <c r="M1180" t="s">
        <v>19</v>
      </c>
      <c r="N1180">
        <f t="shared" si="36"/>
        <v>14.5</v>
      </c>
      <c r="O1180" t="b">
        <f t="shared" si="37"/>
        <v>1</v>
      </c>
    </row>
    <row r="1181" spans="1:15">
      <c r="A1181" t="s">
        <v>1357</v>
      </c>
      <c r="B1181" s="2">
        <v>46259</v>
      </c>
      <c r="C1181" t="s">
        <v>212</v>
      </c>
      <c r="D1181" t="s">
        <v>35</v>
      </c>
      <c r="E1181" t="s">
        <v>59</v>
      </c>
      <c r="F1181" t="s">
        <v>17</v>
      </c>
      <c r="G1181">
        <v>1</v>
      </c>
      <c r="H1181" s="3">
        <v>11.95</v>
      </c>
      <c r="I1181" s="3">
        <v>11.95</v>
      </c>
      <c r="J1181" t="s">
        <v>27</v>
      </c>
      <c r="K1181">
        <v>23</v>
      </c>
      <c r="L1181">
        <v>22</v>
      </c>
      <c r="M1181" t="s">
        <v>19</v>
      </c>
      <c r="N1181">
        <f t="shared" si="36"/>
        <v>11.95</v>
      </c>
      <c r="O1181" t="b">
        <f t="shared" si="37"/>
        <v>1</v>
      </c>
    </row>
    <row r="1182" spans="1:15">
      <c r="A1182" t="s">
        <v>1358</v>
      </c>
      <c r="B1182" s="2">
        <v>46206</v>
      </c>
      <c r="C1182" t="s">
        <v>171</v>
      </c>
      <c r="D1182" t="s">
        <v>35</v>
      </c>
      <c r="E1182" t="s">
        <v>78</v>
      </c>
      <c r="F1182" t="s">
        <v>47</v>
      </c>
      <c r="G1182">
        <v>3</v>
      </c>
      <c r="H1182" s="3">
        <v>7.25</v>
      </c>
      <c r="I1182" s="3">
        <v>21.75</v>
      </c>
      <c r="J1182" t="s">
        <v>18</v>
      </c>
      <c r="K1182">
        <v>25</v>
      </c>
      <c r="L1182">
        <v>27</v>
      </c>
      <c r="M1182" t="s">
        <v>19</v>
      </c>
      <c r="N1182">
        <f t="shared" si="36"/>
        <v>21.75</v>
      </c>
      <c r="O1182" t="b">
        <f t="shared" si="37"/>
        <v>1</v>
      </c>
    </row>
    <row r="1183" spans="1:15">
      <c r="A1183" t="s">
        <v>1359</v>
      </c>
      <c r="B1183" s="2">
        <v>46094</v>
      </c>
      <c r="C1183" t="s">
        <v>228</v>
      </c>
      <c r="D1183" t="s">
        <v>35</v>
      </c>
      <c r="E1183" t="s">
        <v>121</v>
      </c>
      <c r="F1183" t="s">
        <v>23</v>
      </c>
      <c r="G1183">
        <v>1</v>
      </c>
      <c r="H1183" s="3">
        <v>6.5</v>
      </c>
      <c r="I1183" s="3">
        <v>6.5</v>
      </c>
      <c r="J1183" t="s">
        <v>18</v>
      </c>
      <c r="K1183">
        <v>20</v>
      </c>
      <c r="L1183">
        <v>14</v>
      </c>
      <c r="M1183" t="s">
        <v>19</v>
      </c>
      <c r="N1183">
        <f t="shared" si="36"/>
        <v>6.5</v>
      </c>
      <c r="O1183" t="b">
        <f t="shared" si="37"/>
        <v>1</v>
      </c>
    </row>
    <row r="1184" spans="1:15">
      <c r="A1184" t="s">
        <v>1360</v>
      </c>
      <c r="B1184" s="2">
        <v>46173</v>
      </c>
      <c r="C1184" t="s">
        <v>150</v>
      </c>
      <c r="D1184" t="s">
        <v>15</v>
      </c>
      <c r="E1184" t="s">
        <v>46</v>
      </c>
      <c r="F1184" t="s">
        <v>47</v>
      </c>
      <c r="G1184">
        <v>2</v>
      </c>
      <c r="H1184" s="3">
        <v>6.95</v>
      </c>
      <c r="I1184" s="3">
        <v>13.9</v>
      </c>
      <c r="J1184" t="s">
        <v>32</v>
      </c>
      <c r="K1184">
        <v>15</v>
      </c>
      <c r="L1184">
        <v>20</v>
      </c>
      <c r="M1184" t="s">
        <v>19</v>
      </c>
      <c r="N1184">
        <f t="shared" si="36"/>
        <v>13.9</v>
      </c>
      <c r="O1184" t="b">
        <f t="shared" si="37"/>
        <v>1</v>
      </c>
    </row>
    <row r="1185" spans="1:15">
      <c r="A1185" t="s">
        <v>1361</v>
      </c>
      <c r="B1185" s="2">
        <v>46066</v>
      </c>
      <c r="C1185" t="s">
        <v>45</v>
      </c>
      <c r="D1185" t="s">
        <v>15</v>
      </c>
      <c r="E1185" t="s">
        <v>56</v>
      </c>
      <c r="F1185" t="s">
        <v>23</v>
      </c>
      <c r="G1185">
        <v>1</v>
      </c>
      <c r="H1185" s="3">
        <v>3.75</v>
      </c>
      <c r="I1185" s="3">
        <v>3.75</v>
      </c>
      <c r="J1185" t="s">
        <v>18</v>
      </c>
      <c r="K1185">
        <v>19</v>
      </c>
      <c r="L1185">
        <v>2</v>
      </c>
      <c r="M1185" t="s">
        <v>19</v>
      </c>
      <c r="N1185">
        <f t="shared" si="36"/>
        <v>3.75</v>
      </c>
      <c r="O1185" t="b">
        <f t="shared" si="37"/>
        <v>1</v>
      </c>
    </row>
    <row r="1186" spans="1:15">
      <c r="A1186" t="s">
        <v>1362</v>
      </c>
      <c r="B1186" s="2">
        <v>46192</v>
      </c>
      <c r="C1186" t="s">
        <v>314</v>
      </c>
      <c r="D1186" t="s">
        <v>35</v>
      </c>
      <c r="E1186" t="s">
        <v>121</v>
      </c>
      <c r="F1186" t="s">
        <v>23</v>
      </c>
      <c r="G1186">
        <v>2</v>
      </c>
      <c r="H1186" s="3">
        <v>6.5</v>
      </c>
      <c r="I1186" s="3">
        <v>0</v>
      </c>
      <c r="J1186" t="s">
        <v>27</v>
      </c>
      <c r="K1186">
        <v>17</v>
      </c>
      <c r="L1186">
        <v>11</v>
      </c>
      <c r="M1186" t="s">
        <v>152</v>
      </c>
      <c r="N1186">
        <f t="shared" si="36"/>
        <v>13</v>
      </c>
      <c r="O1186" t="b">
        <f t="shared" si="37"/>
        <v>1</v>
      </c>
    </row>
    <row r="1187" spans="1:15">
      <c r="A1187" t="s">
        <v>1363</v>
      </c>
      <c r="B1187" s="2">
        <v>46276</v>
      </c>
      <c r="C1187" t="s">
        <v>38</v>
      </c>
      <c r="D1187" t="s">
        <v>15</v>
      </c>
      <c r="E1187" t="s">
        <v>126</v>
      </c>
      <c r="F1187" t="s">
        <v>31</v>
      </c>
      <c r="G1187">
        <v>2</v>
      </c>
      <c r="H1187" s="3">
        <v>7.95</v>
      </c>
      <c r="I1187" s="3">
        <v>15.9</v>
      </c>
      <c r="J1187" t="s">
        <v>18</v>
      </c>
      <c r="K1187">
        <v>26</v>
      </c>
      <c r="L1187">
        <v>6</v>
      </c>
      <c r="M1187" t="s">
        <v>19</v>
      </c>
      <c r="N1187">
        <f t="shared" si="36"/>
        <v>15.9</v>
      </c>
      <c r="O1187" t="b">
        <f t="shared" si="37"/>
        <v>1</v>
      </c>
    </row>
    <row r="1188" spans="1:15">
      <c r="A1188" t="s">
        <v>1364</v>
      </c>
      <c r="B1188" s="2">
        <v>46125</v>
      </c>
      <c r="C1188" t="s">
        <v>625</v>
      </c>
      <c r="D1188" t="s">
        <v>15</v>
      </c>
      <c r="E1188" t="s">
        <v>56</v>
      </c>
      <c r="F1188" t="s">
        <v>23</v>
      </c>
      <c r="G1188">
        <v>2</v>
      </c>
      <c r="H1188" s="3">
        <v>3.75</v>
      </c>
      <c r="I1188" s="3">
        <v>7.5</v>
      </c>
      <c r="J1188" t="s">
        <v>27</v>
      </c>
      <c r="K1188">
        <v>16</v>
      </c>
      <c r="L1188">
        <v>12</v>
      </c>
      <c r="M1188" t="s">
        <v>19</v>
      </c>
      <c r="N1188">
        <f t="shared" si="36"/>
        <v>7.5</v>
      </c>
      <c r="O1188" t="b">
        <f t="shared" si="37"/>
        <v>1</v>
      </c>
    </row>
    <row r="1189" spans="1:15">
      <c r="A1189" t="s">
        <v>1365</v>
      </c>
      <c r="B1189" s="2">
        <v>46281</v>
      </c>
      <c r="C1189" t="s">
        <v>265</v>
      </c>
      <c r="D1189" t="s">
        <v>35</v>
      </c>
      <c r="E1189" t="s">
        <v>126</v>
      </c>
      <c r="F1189" t="s">
        <v>31</v>
      </c>
      <c r="G1189">
        <v>1</v>
      </c>
      <c r="H1189" s="3">
        <v>7.95</v>
      </c>
      <c r="I1189" s="3">
        <v>7.95</v>
      </c>
      <c r="J1189" t="s">
        <v>27</v>
      </c>
      <c r="K1189">
        <v>27</v>
      </c>
      <c r="L1189">
        <v>22</v>
      </c>
      <c r="M1189" t="s">
        <v>19</v>
      </c>
      <c r="N1189">
        <f t="shared" si="36"/>
        <v>7.95</v>
      </c>
      <c r="O1189" t="b">
        <f t="shared" si="37"/>
        <v>1</v>
      </c>
    </row>
    <row r="1190" spans="1:15">
      <c r="A1190" t="s">
        <v>1366</v>
      </c>
      <c r="B1190" s="2">
        <v>46156</v>
      </c>
      <c r="C1190" t="s">
        <v>49</v>
      </c>
      <c r="D1190" t="s">
        <v>35</v>
      </c>
      <c r="E1190" t="s">
        <v>56</v>
      </c>
      <c r="F1190" t="s">
        <v>23</v>
      </c>
      <c r="G1190">
        <v>1</v>
      </c>
      <c r="H1190" s="3">
        <v>3.75</v>
      </c>
      <c r="I1190" s="3">
        <v>3.75</v>
      </c>
      <c r="J1190" t="s">
        <v>18</v>
      </c>
      <c r="K1190">
        <v>27</v>
      </c>
      <c r="L1190">
        <v>10</v>
      </c>
      <c r="M1190" t="s">
        <v>19</v>
      </c>
      <c r="N1190">
        <f t="shared" si="36"/>
        <v>3.75</v>
      </c>
      <c r="O1190" t="b">
        <f t="shared" si="37"/>
        <v>1</v>
      </c>
    </row>
    <row r="1191" spans="1:15">
      <c r="A1191" t="s">
        <v>1367</v>
      </c>
      <c r="B1191" s="2">
        <v>46146</v>
      </c>
      <c r="C1191" t="s">
        <v>202</v>
      </c>
      <c r="D1191" t="s">
        <v>15</v>
      </c>
      <c r="E1191" t="s">
        <v>103</v>
      </c>
      <c r="F1191" t="s">
        <v>23</v>
      </c>
      <c r="G1191">
        <v>1</v>
      </c>
      <c r="H1191" s="3">
        <v>3.25</v>
      </c>
      <c r="I1191" s="3">
        <v>3.25</v>
      </c>
      <c r="J1191" t="s">
        <v>27</v>
      </c>
      <c r="K1191">
        <v>22</v>
      </c>
      <c r="L1191">
        <v>6</v>
      </c>
      <c r="M1191" t="s">
        <v>19</v>
      </c>
      <c r="N1191">
        <f t="shared" si="36"/>
        <v>3.25</v>
      </c>
      <c r="O1191" t="b">
        <f t="shared" si="37"/>
        <v>1</v>
      </c>
    </row>
    <row r="1192" spans="1:15">
      <c r="A1192" t="s">
        <v>1368</v>
      </c>
      <c r="B1192" s="2">
        <v>46275</v>
      </c>
      <c r="C1192" t="s">
        <v>288</v>
      </c>
      <c r="D1192" t="s">
        <v>15</v>
      </c>
      <c r="E1192" t="s">
        <v>46</v>
      </c>
      <c r="F1192" t="s">
        <v>47</v>
      </c>
      <c r="G1192">
        <v>2</v>
      </c>
      <c r="H1192" s="3">
        <v>6.95</v>
      </c>
      <c r="I1192" s="3">
        <v>13.9</v>
      </c>
      <c r="J1192" t="s">
        <v>27</v>
      </c>
      <c r="K1192">
        <v>5</v>
      </c>
      <c r="L1192">
        <v>5</v>
      </c>
      <c r="M1192" t="s">
        <v>19</v>
      </c>
      <c r="N1192">
        <f t="shared" si="36"/>
        <v>13.9</v>
      </c>
      <c r="O1192" t="b">
        <f t="shared" si="37"/>
        <v>1</v>
      </c>
    </row>
    <row r="1193" spans="1:15">
      <c r="A1193" t="s">
        <v>1369</v>
      </c>
      <c r="B1193" s="2">
        <v>46257</v>
      </c>
      <c r="C1193" t="s">
        <v>214</v>
      </c>
      <c r="D1193" t="s">
        <v>15</v>
      </c>
      <c r="E1193" t="s">
        <v>121</v>
      </c>
      <c r="F1193" t="s">
        <v>23</v>
      </c>
      <c r="G1193">
        <v>1</v>
      </c>
      <c r="H1193" s="3">
        <v>6.5</v>
      </c>
      <c r="I1193" s="3">
        <v>6.5</v>
      </c>
      <c r="J1193" t="s">
        <v>53</v>
      </c>
      <c r="K1193">
        <v>21</v>
      </c>
      <c r="L1193">
        <v>11</v>
      </c>
      <c r="M1193" t="s">
        <v>19</v>
      </c>
      <c r="N1193">
        <f t="shared" si="36"/>
        <v>6.5</v>
      </c>
      <c r="O1193" t="b">
        <f t="shared" si="37"/>
        <v>1</v>
      </c>
    </row>
    <row r="1194" spans="1:15">
      <c r="A1194" t="s">
        <v>1370</v>
      </c>
      <c r="B1194" s="2">
        <v>46250</v>
      </c>
      <c r="C1194" t="s">
        <v>258</v>
      </c>
      <c r="D1194" t="s">
        <v>15</v>
      </c>
      <c r="E1194" t="s">
        <v>96</v>
      </c>
      <c r="F1194" t="s">
        <v>47</v>
      </c>
      <c r="G1194">
        <v>3</v>
      </c>
      <c r="H1194" s="3">
        <v>5.75</v>
      </c>
      <c r="I1194" s="3">
        <v>17.25</v>
      </c>
      <c r="J1194" t="s">
        <v>18</v>
      </c>
      <c r="K1194">
        <v>12</v>
      </c>
      <c r="L1194">
        <v>13</v>
      </c>
      <c r="M1194" t="s">
        <v>19</v>
      </c>
      <c r="N1194">
        <f t="shared" si="36"/>
        <v>17.25</v>
      </c>
      <c r="O1194" t="b">
        <f t="shared" si="37"/>
        <v>1</v>
      </c>
    </row>
    <row r="1195" spans="1:15">
      <c r="A1195" t="s">
        <v>1371</v>
      </c>
      <c r="B1195" s="2">
        <v>46280</v>
      </c>
      <c r="C1195" t="s">
        <v>220</v>
      </c>
      <c r="D1195" t="s">
        <v>15</v>
      </c>
      <c r="E1195" t="s">
        <v>22</v>
      </c>
      <c r="F1195" t="s">
        <v>23</v>
      </c>
      <c r="G1195">
        <v>1</v>
      </c>
      <c r="H1195" s="3">
        <v>3.1</v>
      </c>
      <c r="I1195" s="3">
        <v>3.1</v>
      </c>
      <c r="J1195" t="s">
        <v>18</v>
      </c>
      <c r="K1195">
        <v>5</v>
      </c>
      <c r="L1195">
        <v>25</v>
      </c>
      <c r="M1195" t="s">
        <v>19</v>
      </c>
      <c r="N1195">
        <f t="shared" si="36"/>
        <v>3.1</v>
      </c>
      <c r="O1195" t="b">
        <f t="shared" si="37"/>
        <v>1</v>
      </c>
    </row>
    <row r="1196" spans="1:15">
      <c r="A1196" t="s">
        <v>1372</v>
      </c>
      <c r="B1196" s="2">
        <v>46196</v>
      </c>
      <c r="C1196" t="s">
        <v>158</v>
      </c>
      <c r="D1196" t="s">
        <v>35</v>
      </c>
      <c r="E1196" t="s">
        <v>126</v>
      </c>
      <c r="F1196" t="s">
        <v>31</v>
      </c>
      <c r="G1196">
        <v>3</v>
      </c>
      <c r="H1196" s="3">
        <v>7.95</v>
      </c>
      <c r="I1196" s="3">
        <v>23.85</v>
      </c>
      <c r="J1196" t="s">
        <v>53</v>
      </c>
      <c r="K1196">
        <v>13</v>
      </c>
      <c r="L1196">
        <v>27</v>
      </c>
      <c r="M1196" t="s">
        <v>19</v>
      </c>
      <c r="N1196">
        <f t="shared" si="36"/>
        <v>23.85</v>
      </c>
      <c r="O1196" t="b">
        <f t="shared" si="37"/>
        <v>1</v>
      </c>
    </row>
    <row r="1197" spans="1:15">
      <c r="A1197" t="s">
        <v>1373</v>
      </c>
      <c r="B1197" s="2">
        <v>46115</v>
      </c>
      <c r="C1197" t="s">
        <v>130</v>
      </c>
      <c r="D1197" t="s">
        <v>35</v>
      </c>
      <c r="E1197" t="s">
        <v>22</v>
      </c>
      <c r="F1197" t="s">
        <v>23</v>
      </c>
      <c r="G1197">
        <v>1</v>
      </c>
      <c r="H1197" s="3">
        <v>3.1</v>
      </c>
      <c r="I1197" s="3">
        <v>3.1</v>
      </c>
      <c r="J1197" t="s">
        <v>18</v>
      </c>
      <c r="K1197">
        <v>11</v>
      </c>
      <c r="L1197">
        <v>8</v>
      </c>
      <c r="M1197" t="s">
        <v>19</v>
      </c>
      <c r="N1197">
        <f t="shared" si="36"/>
        <v>3.1</v>
      </c>
      <c r="O1197" t="b">
        <f t="shared" si="37"/>
        <v>1</v>
      </c>
    </row>
    <row r="1198" spans="1:15">
      <c r="A1198" t="s">
        <v>1374</v>
      </c>
      <c r="B1198" s="2">
        <v>46201</v>
      </c>
      <c r="C1198" t="s">
        <v>34</v>
      </c>
      <c r="D1198" t="s">
        <v>35</v>
      </c>
      <c r="E1198" t="s">
        <v>83</v>
      </c>
      <c r="F1198" t="s">
        <v>17</v>
      </c>
      <c r="G1198">
        <v>1</v>
      </c>
      <c r="H1198" s="3">
        <v>13.5</v>
      </c>
      <c r="I1198" s="3">
        <v>13.5</v>
      </c>
      <c r="J1198" t="s">
        <v>18</v>
      </c>
      <c r="K1198">
        <v>4</v>
      </c>
      <c r="L1198">
        <v>21</v>
      </c>
      <c r="M1198" t="s">
        <v>19</v>
      </c>
      <c r="N1198">
        <f t="shared" si="36"/>
        <v>13.5</v>
      </c>
      <c r="O1198" t="b">
        <f t="shared" si="37"/>
        <v>1</v>
      </c>
    </row>
    <row r="1199" spans="1:15">
      <c r="A1199" t="s">
        <v>1375</v>
      </c>
      <c r="B1199" s="2">
        <v>46266</v>
      </c>
      <c r="C1199" t="s">
        <v>697</v>
      </c>
      <c r="D1199" t="s">
        <v>15</v>
      </c>
      <c r="E1199" t="s">
        <v>16</v>
      </c>
      <c r="F1199" t="s">
        <v>17</v>
      </c>
      <c r="G1199">
        <v>1</v>
      </c>
      <c r="H1199" s="3">
        <v>9.9499999999999993</v>
      </c>
      <c r="I1199" s="3">
        <v>9.9499999999999993</v>
      </c>
      <c r="J1199" t="s">
        <v>53</v>
      </c>
      <c r="K1199">
        <v>24</v>
      </c>
      <c r="L1199">
        <v>18</v>
      </c>
      <c r="M1199" t="s">
        <v>19</v>
      </c>
      <c r="N1199">
        <f t="shared" si="36"/>
        <v>9.9499999999999993</v>
      </c>
      <c r="O1199" t="b">
        <f t="shared" si="37"/>
        <v>1</v>
      </c>
    </row>
    <row r="1200" spans="1:15">
      <c r="A1200" t="s">
        <v>1376</v>
      </c>
      <c r="B1200" s="2">
        <v>46238</v>
      </c>
      <c r="C1200" t="s">
        <v>182</v>
      </c>
      <c r="D1200" t="s">
        <v>35</v>
      </c>
      <c r="E1200" t="s">
        <v>41</v>
      </c>
      <c r="F1200" t="s">
        <v>31</v>
      </c>
      <c r="G1200">
        <v>1</v>
      </c>
      <c r="H1200" s="3">
        <v>5.5</v>
      </c>
      <c r="I1200" s="3">
        <v>0</v>
      </c>
      <c r="J1200" t="s">
        <v>18</v>
      </c>
      <c r="K1200">
        <v>20</v>
      </c>
      <c r="L1200">
        <v>29</v>
      </c>
      <c r="M1200" t="s">
        <v>152</v>
      </c>
      <c r="N1200">
        <f t="shared" si="36"/>
        <v>5.5</v>
      </c>
      <c r="O1200" t="b">
        <f t="shared" si="37"/>
        <v>1</v>
      </c>
    </row>
    <row r="1201" spans="1:15">
      <c r="A1201" t="s">
        <v>1377</v>
      </c>
      <c r="B1201" s="2">
        <v>46038</v>
      </c>
      <c r="C1201" t="s">
        <v>387</v>
      </c>
      <c r="D1201" t="s">
        <v>35</v>
      </c>
      <c r="E1201" t="s">
        <v>96</v>
      </c>
      <c r="F1201" t="s">
        <v>47</v>
      </c>
      <c r="G1201">
        <v>1</v>
      </c>
      <c r="H1201" s="3">
        <v>5.75</v>
      </c>
      <c r="I1201" s="3">
        <v>5.75</v>
      </c>
      <c r="J1201" t="s">
        <v>18</v>
      </c>
      <c r="K1201">
        <v>19</v>
      </c>
      <c r="L1201">
        <v>24</v>
      </c>
      <c r="M1201" t="s">
        <v>19</v>
      </c>
      <c r="N1201">
        <f t="shared" si="36"/>
        <v>5.75</v>
      </c>
      <c r="O1201" t="b">
        <f t="shared" si="37"/>
        <v>1</v>
      </c>
    </row>
    <row r="1202" spans="1:15">
      <c r="A1202" t="s">
        <v>1378</v>
      </c>
      <c r="B1202" s="2">
        <v>46123</v>
      </c>
      <c r="C1202" t="s">
        <v>128</v>
      </c>
      <c r="D1202" t="s">
        <v>15</v>
      </c>
      <c r="E1202" t="s">
        <v>126</v>
      </c>
      <c r="F1202" t="s">
        <v>31</v>
      </c>
      <c r="G1202">
        <v>1</v>
      </c>
      <c r="H1202" s="3">
        <v>7.95</v>
      </c>
      <c r="I1202" s="3">
        <v>0</v>
      </c>
      <c r="J1202" t="s">
        <v>32</v>
      </c>
      <c r="K1202">
        <v>26</v>
      </c>
      <c r="L1202">
        <v>21</v>
      </c>
      <c r="M1202" t="s">
        <v>152</v>
      </c>
      <c r="N1202">
        <f t="shared" si="36"/>
        <v>7.95</v>
      </c>
      <c r="O1202" t="b">
        <f t="shared" si="37"/>
        <v>1</v>
      </c>
    </row>
    <row r="1203" spans="1:15">
      <c r="A1203" t="s">
        <v>1379</v>
      </c>
      <c r="B1203" s="2">
        <v>46067</v>
      </c>
      <c r="C1203" t="s">
        <v>230</v>
      </c>
      <c r="D1203" t="s">
        <v>35</v>
      </c>
      <c r="E1203" t="s">
        <v>59</v>
      </c>
      <c r="F1203" t="s">
        <v>17</v>
      </c>
      <c r="G1203">
        <v>1</v>
      </c>
      <c r="H1203" s="3">
        <v>11.95</v>
      </c>
      <c r="I1203" s="3">
        <v>11.95</v>
      </c>
      <c r="J1203" t="s">
        <v>27</v>
      </c>
      <c r="K1203">
        <v>29</v>
      </c>
      <c r="L1203">
        <v>29</v>
      </c>
      <c r="M1203" t="s">
        <v>19</v>
      </c>
      <c r="N1203">
        <f t="shared" si="36"/>
        <v>11.95</v>
      </c>
      <c r="O1203" t="b">
        <f t="shared" si="37"/>
        <v>1</v>
      </c>
    </row>
    <row r="1204" spans="1:15">
      <c r="A1204" t="s">
        <v>1380</v>
      </c>
      <c r="B1204" s="2">
        <v>46231</v>
      </c>
      <c r="C1204" t="s">
        <v>493</v>
      </c>
      <c r="D1204" t="s">
        <v>35</v>
      </c>
      <c r="E1204" t="s">
        <v>106</v>
      </c>
      <c r="F1204" t="s">
        <v>17</v>
      </c>
      <c r="G1204">
        <v>2</v>
      </c>
      <c r="H1204" s="3">
        <v>15.95</v>
      </c>
      <c r="I1204" s="3">
        <v>31.9</v>
      </c>
      <c r="J1204" t="s">
        <v>27</v>
      </c>
      <c r="K1204">
        <v>27</v>
      </c>
      <c r="L1204">
        <v>15</v>
      </c>
      <c r="M1204" t="s">
        <v>19</v>
      </c>
      <c r="N1204">
        <f t="shared" si="36"/>
        <v>31.9</v>
      </c>
      <c r="O1204" t="b">
        <f t="shared" si="37"/>
        <v>1</v>
      </c>
    </row>
    <row r="1205" spans="1:15">
      <c r="A1205" t="s">
        <v>1381</v>
      </c>
      <c r="B1205" s="2">
        <v>46265</v>
      </c>
      <c r="C1205" t="s">
        <v>273</v>
      </c>
      <c r="D1205" t="s">
        <v>35</v>
      </c>
      <c r="E1205" t="s">
        <v>36</v>
      </c>
      <c r="F1205" t="s">
        <v>23</v>
      </c>
      <c r="G1205">
        <v>2</v>
      </c>
      <c r="H1205" s="3">
        <v>2.8</v>
      </c>
      <c r="I1205" s="3">
        <v>5.6</v>
      </c>
      <c r="J1205" t="s">
        <v>18</v>
      </c>
      <c r="K1205">
        <v>15</v>
      </c>
      <c r="L1205">
        <v>7</v>
      </c>
      <c r="M1205" t="s">
        <v>19</v>
      </c>
      <c r="N1205">
        <f t="shared" si="36"/>
        <v>5.6</v>
      </c>
      <c r="O1205" t="b">
        <f t="shared" si="37"/>
        <v>1</v>
      </c>
    </row>
    <row r="1206" spans="1:15">
      <c r="A1206" t="s">
        <v>1382</v>
      </c>
      <c r="B1206" s="2">
        <v>46215</v>
      </c>
      <c r="C1206" t="s">
        <v>82</v>
      </c>
      <c r="D1206" t="s">
        <v>35</v>
      </c>
      <c r="E1206" t="s">
        <v>50</v>
      </c>
      <c r="F1206" t="s">
        <v>17</v>
      </c>
      <c r="G1206">
        <v>2</v>
      </c>
      <c r="H1206" s="3">
        <v>14.5</v>
      </c>
      <c r="I1206" s="3">
        <v>29</v>
      </c>
      <c r="J1206" t="s">
        <v>18</v>
      </c>
      <c r="K1206">
        <v>2</v>
      </c>
      <c r="L1206">
        <v>25</v>
      </c>
      <c r="M1206" t="s">
        <v>19</v>
      </c>
      <c r="N1206">
        <f t="shared" si="36"/>
        <v>29</v>
      </c>
      <c r="O1206" t="b">
        <f t="shared" si="37"/>
        <v>1</v>
      </c>
    </row>
    <row r="1207" spans="1:15">
      <c r="A1207" t="s">
        <v>1383</v>
      </c>
      <c r="B1207" s="2">
        <v>46192</v>
      </c>
      <c r="C1207" t="s">
        <v>465</v>
      </c>
      <c r="D1207" t="s">
        <v>15</v>
      </c>
      <c r="E1207" t="s">
        <v>46</v>
      </c>
      <c r="F1207" t="s">
        <v>47</v>
      </c>
      <c r="G1207">
        <v>2</v>
      </c>
      <c r="H1207" s="3">
        <v>6.95</v>
      </c>
      <c r="I1207" s="3">
        <v>13.9</v>
      </c>
      <c r="J1207" t="s">
        <v>53</v>
      </c>
      <c r="K1207">
        <v>28</v>
      </c>
      <c r="L1207">
        <v>20</v>
      </c>
      <c r="M1207" t="s">
        <v>19</v>
      </c>
      <c r="N1207">
        <f t="shared" si="36"/>
        <v>13.9</v>
      </c>
      <c r="O1207" t="b">
        <f t="shared" si="37"/>
        <v>1</v>
      </c>
    </row>
    <row r="1208" spans="1:15">
      <c r="A1208" t="s">
        <v>1384</v>
      </c>
      <c r="B1208" s="2">
        <v>46170</v>
      </c>
      <c r="C1208" t="s">
        <v>202</v>
      </c>
      <c r="D1208" t="s">
        <v>15</v>
      </c>
      <c r="E1208" t="s">
        <v>22</v>
      </c>
      <c r="F1208" t="s">
        <v>23</v>
      </c>
      <c r="G1208">
        <v>3</v>
      </c>
      <c r="H1208" s="3">
        <v>3.1</v>
      </c>
      <c r="I1208" s="3">
        <v>9.3000000000000007</v>
      </c>
      <c r="J1208" t="s">
        <v>18</v>
      </c>
      <c r="K1208">
        <v>18</v>
      </c>
      <c r="L1208">
        <v>5</v>
      </c>
      <c r="M1208" t="s">
        <v>19</v>
      </c>
      <c r="N1208">
        <f t="shared" si="36"/>
        <v>9.3000000000000007</v>
      </c>
      <c r="O1208" t="b">
        <f t="shared" si="37"/>
        <v>1</v>
      </c>
    </row>
    <row r="1209" spans="1:15">
      <c r="A1209" t="s">
        <v>1385</v>
      </c>
      <c r="B1209" s="2">
        <v>46079</v>
      </c>
      <c r="C1209" t="s">
        <v>64</v>
      </c>
      <c r="D1209" t="s">
        <v>35</v>
      </c>
      <c r="E1209" t="s">
        <v>26</v>
      </c>
      <c r="F1209" t="s">
        <v>17</v>
      </c>
      <c r="G1209">
        <v>1</v>
      </c>
      <c r="H1209" s="3">
        <v>11.5</v>
      </c>
      <c r="I1209" s="3">
        <v>11.5</v>
      </c>
      <c r="J1209" t="s">
        <v>27</v>
      </c>
      <c r="K1209">
        <v>9</v>
      </c>
      <c r="L1209">
        <v>27</v>
      </c>
      <c r="M1209" t="s">
        <v>19</v>
      </c>
      <c r="N1209">
        <f t="shared" si="36"/>
        <v>11.5</v>
      </c>
      <c r="O1209" t="b">
        <f t="shared" si="37"/>
        <v>1</v>
      </c>
    </row>
    <row r="1210" spans="1:15">
      <c r="A1210" t="s">
        <v>1386</v>
      </c>
      <c r="B1210" s="2">
        <v>46053</v>
      </c>
      <c r="C1210" t="s">
        <v>320</v>
      </c>
      <c r="D1210" t="s">
        <v>15</v>
      </c>
      <c r="E1210" t="s">
        <v>93</v>
      </c>
      <c r="F1210" t="s">
        <v>31</v>
      </c>
      <c r="G1210">
        <v>3</v>
      </c>
      <c r="H1210" s="3">
        <v>6.25</v>
      </c>
      <c r="I1210" s="3">
        <v>18.75</v>
      </c>
      <c r="J1210" t="s">
        <v>27</v>
      </c>
      <c r="K1210">
        <v>16</v>
      </c>
      <c r="L1210">
        <v>17</v>
      </c>
      <c r="M1210" t="s">
        <v>19</v>
      </c>
      <c r="N1210">
        <f t="shared" si="36"/>
        <v>18.75</v>
      </c>
      <c r="O1210" t="b">
        <f t="shared" si="37"/>
        <v>1</v>
      </c>
    </row>
    <row r="1211" spans="1:15">
      <c r="A1211" t="s">
        <v>1387</v>
      </c>
      <c r="B1211" s="2">
        <v>46041</v>
      </c>
      <c r="C1211" t="s">
        <v>352</v>
      </c>
      <c r="D1211" t="s">
        <v>15</v>
      </c>
      <c r="E1211" t="s">
        <v>56</v>
      </c>
      <c r="F1211" t="s">
        <v>23</v>
      </c>
      <c r="G1211">
        <v>2</v>
      </c>
      <c r="H1211" s="3">
        <v>3.75</v>
      </c>
      <c r="I1211" s="3">
        <v>7.5</v>
      </c>
      <c r="J1211" t="s">
        <v>18</v>
      </c>
      <c r="K1211">
        <v>29</v>
      </c>
      <c r="L1211">
        <v>7</v>
      </c>
      <c r="M1211" t="s">
        <v>19</v>
      </c>
      <c r="N1211">
        <f t="shared" si="36"/>
        <v>7.5</v>
      </c>
      <c r="O1211" t="b">
        <f t="shared" si="37"/>
        <v>1</v>
      </c>
    </row>
    <row r="1212" spans="1:15">
      <c r="A1212" t="s">
        <v>1388</v>
      </c>
      <c r="B1212" s="2">
        <v>46089</v>
      </c>
      <c r="C1212" t="s">
        <v>322</v>
      </c>
      <c r="D1212" t="s">
        <v>15</v>
      </c>
      <c r="E1212" t="s">
        <v>83</v>
      </c>
      <c r="F1212" t="s">
        <v>17</v>
      </c>
      <c r="G1212">
        <v>1</v>
      </c>
      <c r="H1212" s="3">
        <v>13.5</v>
      </c>
      <c r="I1212" s="3">
        <v>13.5</v>
      </c>
      <c r="J1212" t="s">
        <v>32</v>
      </c>
      <c r="K1212">
        <v>10</v>
      </c>
      <c r="L1212">
        <v>12</v>
      </c>
      <c r="M1212" t="s">
        <v>19</v>
      </c>
      <c r="N1212">
        <f t="shared" si="36"/>
        <v>13.5</v>
      </c>
      <c r="O1212" t="b">
        <f t="shared" si="37"/>
        <v>1</v>
      </c>
    </row>
    <row r="1213" spans="1:15">
      <c r="A1213" t="s">
        <v>1389</v>
      </c>
      <c r="B1213" s="2">
        <v>46139</v>
      </c>
      <c r="C1213" t="s">
        <v>251</v>
      </c>
      <c r="D1213" t="s">
        <v>15</v>
      </c>
      <c r="E1213" t="s">
        <v>70</v>
      </c>
      <c r="F1213" t="s">
        <v>17</v>
      </c>
      <c r="G1213">
        <v>1</v>
      </c>
      <c r="H1213" s="3">
        <v>12.5</v>
      </c>
      <c r="I1213" s="3">
        <v>12.5</v>
      </c>
      <c r="J1213" t="s">
        <v>18</v>
      </c>
      <c r="K1213">
        <v>22</v>
      </c>
      <c r="L1213">
        <v>10</v>
      </c>
      <c r="M1213" t="s">
        <v>19</v>
      </c>
      <c r="N1213">
        <f t="shared" si="36"/>
        <v>12.5</v>
      </c>
      <c r="O1213" t="b">
        <f t="shared" si="37"/>
        <v>1</v>
      </c>
    </row>
    <row r="1214" spans="1:15">
      <c r="A1214" t="s">
        <v>1390</v>
      </c>
      <c r="B1214" s="2">
        <v>46032</v>
      </c>
      <c r="C1214" t="s">
        <v>297</v>
      </c>
      <c r="D1214" t="s">
        <v>35</v>
      </c>
      <c r="E1214" t="s">
        <v>46</v>
      </c>
      <c r="F1214" t="s">
        <v>47</v>
      </c>
      <c r="G1214">
        <v>2</v>
      </c>
      <c r="H1214" s="3">
        <v>6.95</v>
      </c>
      <c r="I1214" s="3">
        <v>13.9</v>
      </c>
      <c r="J1214" t="s">
        <v>18</v>
      </c>
      <c r="K1214">
        <v>4</v>
      </c>
      <c r="L1214">
        <v>17</v>
      </c>
      <c r="M1214" t="s">
        <v>19</v>
      </c>
      <c r="N1214">
        <f t="shared" si="36"/>
        <v>13.9</v>
      </c>
      <c r="O1214" t="b">
        <f t="shared" si="37"/>
        <v>1</v>
      </c>
    </row>
    <row r="1215" spans="1:15">
      <c r="A1215" t="s">
        <v>1391</v>
      </c>
      <c r="B1215" s="2">
        <v>46211</v>
      </c>
      <c r="C1215" t="s">
        <v>288</v>
      </c>
      <c r="D1215" t="s">
        <v>15</v>
      </c>
      <c r="E1215" t="s">
        <v>83</v>
      </c>
      <c r="F1215" t="s">
        <v>17</v>
      </c>
      <c r="G1215">
        <v>1</v>
      </c>
      <c r="H1215" s="3">
        <v>13.5</v>
      </c>
      <c r="I1215" s="3">
        <v>13.5</v>
      </c>
      <c r="J1215" t="s">
        <v>27</v>
      </c>
      <c r="K1215">
        <v>19</v>
      </c>
      <c r="L1215">
        <v>8</v>
      </c>
      <c r="M1215" t="s">
        <v>19</v>
      </c>
      <c r="N1215">
        <f t="shared" si="36"/>
        <v>13.5</v>
      </c>
      <c r="O1215" t="b">
        <f t="shared" si="37"/>
        <v>1</v>
      </c>
    </row>
    <row r="1216" spans="1:15">
      <c r="A1216" t="s">
        <v>1392</v>
      </c>
      <c r="B1216" s="2">
        <v>46234</v>
      </c>
      <c r="C1216" t="s">
        <v>193</v>
      </c>
      <c r="D1216" t="s">
        <v>35</v>
      </c>
      <c r="E1216" t="s">
        <v>83</v>
      </c>
      <c r="F1216" t="s">
        <v>17</v>
      </c>
      <c r="G1216">
        <v>4</v>
      </c>
      <c r="H1216" s="3">
        <v>13.5</v>
      </c>
      <c r="I1216" s="3">
        <v>54</v>
      </c>
      <c r="J1216" t="s">
        <v>27</v>
      </c>
      <c r="K1216">
        <v>2</v>
      </c>
      <c r="L1216">
        <v>23</v>
      </c>
      <c r="M1216" t="s">
        <v>19</v>
      </c>
      <c r="N1216">
        <f t="shared" si="36"/>
        <v>54</v>
      </c>
      <c r="O1216" t="b">
        <f t="shared" si="37"/>
        <v>1</v>
      </c>
    </row>
    <row r="1217" spans="1:15">
      <c r="A1217" t="s">
        <v>1393</v>
      </c>
      <c r="B1217" s="2">
        <v>46087</v>
      </c>
      <c r="C1217" t="s">
        <v>263</v>
      </c>
      <c r="D1217" t="s">
        <v>35</v>
      </c>
      <c r="E1217" t="s">
        <v>93</v>
      </c>
      <c r="F1217" t="s">
        <v>31</v>
      </c>
      <c r="G1217">
        <v>1</v>
      </c>
      <c r="H1217" s="3">
        <v>6.25</v>
      </c>
      <c r="I1217" s="3">
        <v>6.25</v>
      </c>
      <c r="J1217" t="s">
        <v>27</v>
      </c>
      <c r="K1217">
        <v>29</v>
      </c>
      <c r="L1217">
        <v>16</v>
      </c>
      <c r="M1217" t="s">
        <v>19</v>
      </c>
      <c r="N1217">
        <f t="shared" si="36"/>
        <v>6.25</v>
      </c>
      <c r="O1217" t="b">
        <f t="shared" si="37"/>
        <v>1</v>
      </c>
    </row>
    <row r="1218" spans="1:15">
      <c r="A1218" t="s">
        <v>1394</v>
      </c>
      <c r="B1218" s="2">
        <v>46172</v>
      </c>
      <c r="C1218" t="s">
        <v>385</v>
      </c>
      <c r="D1218" t="s">
        <v>15</v>
      </c>
      <c r="E1218" t="s">
        <v>59</v>
      </c>
      <c r="F1218" t="s">
        <v>17</v>
      </c>
      <c r="G1218">
        <v>2</v>
      </c>
      <c r="H1218" s="3">
        <v>11.95</v>
      </c>
      <c r="I1218" s="3">
        <v>23.9</v>
      </c>
      <c r="J1218" t="s">
        <v>18</v>
      </c>
      <c r="K1218">
        <v>16</v>
      </c>
      <c r="L1218">
        <v>15</v>
      </c>
      <c r="M1218" t="s">
        <v>19</v>
      </c>
      <c r="N1218">
        <f t="shared" ref="N1218:N1281" si="38">G1218*H1218</f>
        <v>23.9</v>
      </c>
      <c r="O1218" t="b">
        <f t="shared" ref="O1218:O1281" si="39">OR(AND(M1218="Completed",I1218=N1218),AND(M1218="Refunded",ABS(I1218)=N1218),AND(M1218="Cancelled",I1218=0))</f>
        <v>1</v>
      </c>
    </row>
    <row r="1219" spans="1:15">
      <c r="A1219" t="s">
        <v>1395</v>
      </c>
      <c r="B1219" s="2">
        <v>46205</v>
      </c>
      <c r="C1219" t="s">
        <v>167</v>
      </c>
      <c r="D1219" t="s">
        <v>35</v>
      </c>
      <c r="E1219" t="s">
        <v>126</v>
      </c>
      <c r="F1219" t="s">
        <v>31</v>
      </c>
      <c r="G1219">
        <v>3</v>
      </c>
      <c r="H1219" s="3">
        <v>7.95</v>
      </c>
      <c r="I1219" s="3">
        <v>-23.85</v>
      </c>
      <c r="J1219" t="s">
        <v>27</v>
      </c>
      <c r="K1219">
        <v>18</v>
      </c>
      <c r="L1219">
        <v>27</v>
      </c>
      <c r="M1219" t="s">
        <v>62</v>
      </c>
      <c r="N1219">
        <f t="shared" si="38"/>
        <v>23.85</v>
      </c>
      <c r="O1219" t="b">
        <f t="shared" si="39"/>
        <v>1</v>
      </c>
    </row>
    <row r="1220" spans="1:15">
      <c r="A1220" t="s">
        <v>1396</v>
      </c>
      <c r="B1220" s="2">
        <v>46148</v>
      </c>
      <c r="C1220" t="s">
        <v>118</v>
      </c>
      <c r="D1220" t="s">
        <v>35</v>
      </c>
      <c r="E1220" t="s">
        <v>36</v>
      </c>
      <c r="F1220" t="s">
        <v>23</v>
      </c>
      <c r="G1220">
        <v>1</v>
      </c>
      <c r="H1220" s="3">
        <v>2.8</v>
      </c>
      <c r="I1220" s="3">
        <v>2.8</v>
      </c>
      <c r="J1220" t="s">
        <v>18</v>
      </c>
      <c r="K1220">
        <v>20</v>
      </c>
      <c r="L1220">
        <v>9</v>
      </c>
      <c r="M1220" t="s">
        <v>19</v>
      </c>
      <c r="N1220">
        <f t="shared" si="38"/>
        <v>2.8</v>
      </c>
      <c r="O1220" t="b">
        <f t="shared" si="39"/>
        <v>1</v>
      </c>
    </row>
    <row r="1221" spans="1:15">
      <c r="A1221" t="s">
        <v>1397</v>
      </c>
      <c r="B1221" s="2">
        <v>46063</v>
      </c>
      <c r="C1221" t="s">
        <v>108</v>
      </c>
      <c r="D1221" t="s">
        <v>15</v>
      </c>
      <c r="E1221" t="s">
        <v>16</v>
      </c>
      <c r="F1221" t="s">
        <v>17</v>
      </c>
      <c r="G1221">
        <v>1</v>
      </c>
      <c r="H1221" s="3">
        <v>9.9499999999999993</v>
      </c>
      <c r="I1221" s="3">
        <v>9.9499999999999993</v>
      </c>
      <c r="J1221" t="s">
        <v>27</v>
      </c>
      <c r="K1221">
        <v>7</v>
      </c>
      <c r="L1221">
        <v>21</v>
      </c>
      <c r="M1221" t="s">
        <v>19</v>
      </c>
      <c r="N1221">
        <f t="shared" si="38"/>
        <v>9.9499999999999993</v>
      </c>
      <c r="O1221" t="b">
        <f t="shared" si="39"/>
        <v>1</v>
      </c>
    </row>
    <row r="1222" spans="1:15">
      <c r="A1222" t="s">
        <v>1398</v>
      </c>
      <c r="B1222" s="2">
        <v>46095</v>
      </c>
      <c r="C1222" t="s">
        <v>697</v>
      </c>
      <c r="D1222" t="s">
        <v>15</v>
      </c>
      <c r="E1222" t="s">
        <v>96</v>
      </c>
      <c r="F1222" t="s">
        <v>47</v>
      </c>
      <c r="G1222">
        <v>2</v>
      </c>
      <c r="H1222" s="3">
        <v>5.75</v>
      </c>
      <c r="I1222" s="3">
        <v>11.5</v>
      </c>
      <c r="J1222" t="s">
        <v>27</v>
      </c>
      <c r="K1222">
        <v>27</v>
      </c>
      <c r="L1222">
        <v>17</v>
      </c>
      <c r="M1222" t="s">
        <v>19</v>
      </c>
      <c r="N1222">
        <f t="shared" si="38"/>
        <v>11.5</v>
      </c>
      <c r="O1222" t="b">
        <f t="shared" si="39"/>
        <v>1</v>
      </c>
    </row>
    <row r="1223" spans="1:15">
      <c r="A1223" t="s">
        <v>1399</v>
      </c>
      <c r="B1223" s="2">
        <v>46165</v>
      </c>
      <c r="C1223" t="s">
        <v>387</v>
      </c>
      <c r="D1223" t="s">
        <v>35</v>
      </c>
      <c r="E1223" t="s">
        <v>83</v>
      </c>
      <c r="F1223" t="s">
        <v>17</v>
      </c>
      <c r="G1223">
        <v>1</v>
      </c>
      <c r="H1223" s="3">
        <v>13.5</v>
      </c>
      <c r="I1223" s="3">
        <v>13.5</v>
      </c>
      <c r="J1223" t="s">
        <v>18</v>
      </c>
      <c r="K1223">
        <v>13</v>
      </c>
      <c r="L1223">
        <v>19</v>
      </c>
      <c r="M1223" t="s">
        <v>19</v>
      </c>
      <c r="N1223">
        <f t="shared" si="38"/>
        <v>13.5</v>
      </c>
      <c r="O1223" t="b">
        <f t="shared" si="39"/>
        <v>1</v>
      </c>
    </row>
    <row r="1224" spans="1:15">
      <c r="A1224" t="s">
        <v>1400</v>
      </c>
      <c r="B1224" s="2">
        <v>46218</v>
      </c>
      <c r="C1224" t="s">
        <v>73</v>
      </c>
      <c r="D1224" t="s">
        <v>35</v>
      </c>
      <c r="E1224" t="s">
        <v>70</v>
      </c>
      <c r="F1224" t="s">
        <v>17</v>
      </c>
      <c r="G1224">
        <v>1</v>
      </c>
      <c r="H1224" s="3">
        <v>12.5</v>
      </c>
      <c r="I1224" s="3">
        <v>12.5</v>
      </c>
      <c r="J1224" t="s">
        <v>27</v>
      </c>
      <c r="K1224">
        <v>10</v>
      </c>
      <c r="L1224">
        <v>18</v>
      </c>
      <c r="M1224" t="s">
        <v>19</v>
      </c>
      <c r="N1224">
        <f t="shared" si="38"/>
        <v>12.5</v>
      </c>
      <c r="O1224" t="b">
        <f t="shared" si="39"/>
        <v>1</v>
      </c>
    </row>
    <row r="1225" spans="1:15">
      <c r="A1225" t="s">
        <v>1401</v>
      </c>
      <c r="B1225" s="2">
        <v>46201</v>
      </c>
      <c r="C1225" t="s">
        <v>519</v>
      </c>
      <c r="D1225" t="s">
        <v>35</v>
      </c>
      <c r="E1225" t="s">
        <v>41</v>
      </c>
      <c r="F1225" t="s">
        <v>31</v>
      </c>
      <c r="G1225">
        <v>2</v>
      </c>
      <c r="H1225" s="3">
        <v>5.5</v>
      </c>
      <c r="I1225" s="3">
        <v>11</v>
      </c>
      <c r="J1225" t="s">
        <v>32</v>
      </c>
      <c r="K1225">
        <v>7</v>
      </c>
      <c r="L1225">
        <v>20</v>
      </c>
      <c r="M1225" t="s">
        <v>19</v>
      </c>
      <c r="N1225">
        <f t="shared" si="38"/>
        <v>11</v>
      </c>
      <c r="O1225" t="b">
        <f t="shared" si="39"/>
        <v>1</v>
      </c>
    </row>
    <row r="1226" spans="1:15">
      <c r="A1226" t="s">
        <v>1402</v>
      </c>
      <c r="B1226" s="2">
        <v>46197</v>
      </c>
      <c r="C1226" t="s">
        <v>145</v>
      </c>
      <c r="D1226" t="s">
        <v>35</v>
      </c>
      <c r="E1226" t="s">
        <v>78</v>
      </c>
      <c r="F1226" t="s">
        <v>47</v>
      </c>
      <c r="G1226">
        <v>2</v>
      </c>
      <c r="H1226" s="3">
        <v>7.25</v>
      </c>
      <c r="I1226" s="3">
        <v>0</v>
      </c>
      <c r="J1226" t="s">
        <v>18</v>
      </c>
      <c r="K1226">
        <v>18</v>
      </c>
      <c r="L1226">
        <v>20</v>
      </c>
      <c r="M1226" t="s">
        <v>152</v>
      </c>
      <c r="N1226">
        <f t="shared" si="38"/>
        <v>14.5</v>
      </c>
      <c r="O1226" t="b">
        <f t="shared" si="39"/>
        <v>1</v>
      </c>
    </row>
    <row r="1227" spans="1:15">
      <c r="A1227" t="s">
        <v>1403</v>
      </c>
      <c r="B1227" s="2">
        <v>46170</v>
      </c>
      <c r="C1227" t="s">
        <v>139</v>
      </c>
      <c r="D1227" t="s">
        <v>35</v>
      </c>
      <c r="E1227" t="s">
        <v>78</v>
      </c>
      <c r="F1227" t="s">
        <v>47</v>
      </c>
      <c r="G1227">
        <v>1</v>
      </c>
      <c r="H1227" s="3">
        <v>7.25</v>
      </c>
      <c r="I1227" s="3">
        <v>7.25</v>
      </c>
      <c r="J1227" t="s">
        <v>18</v>
      </c>
      <c r="K1227">
        <v>25</v>
      </c>
      <c r="L1227">
        <v>9</v>
      </c>
      <c r="M1227" t="s">
        <v>19</v>
      </c>
      <c r="N1227">
        <f t="shared" si="38"/>
        <v>7.25</v>
      </c>
      <c r="O1227" t="b">
        <f t="shared" si="39"/>
        <v>1</v>
      </c>
    </row>
    <row r="1228" spans="1:15">
      <c r="A1228" t="s">
        <v>1404</v>
      </c>
      <c r="B1228" s="2">
        <v>46106</v>
      </c>
      <c r="C1228" t="s">
        <v>506</v>
      </c>
      <c r="D1228" t="s">
        <v>35</v>
      </c>
      <c r="E1228" t="s">
        <v>16</v>
      </c>
      <c r="F1228" t="s">
        <v>17</v>
      </c>
      <c r="G1228">
        <v>1</v>
      </c>
      <c r="H1228" s="3">
        <v>9.9499999999999993</v>
      </c>
      <c r="I1228" s="3">
        <v>9.9499999999999993</v>
      </c>
      <c r="J1228" t="s">
        <v>27</v>
      </c>
      <c r="K1228">
        <v>9</v>
      </c>
      <c r="L1228">
        <v>18</v>
      </c>
      <c r="M1228" t="s">
        <v>19</v>
      </c>
      <c r="N1228">
        <f t="shared" si="38"/>
        <v>9.9499999999999993</v>
      </c>
      <c r="O1228" t="b">
        <f t="shared" si="39"/>
        <v>1</v>
      </c>
    </row>
    <row r="1229" spans="1:15">
      <c r="A1229" t="s">
        <v>1405</v>
      </c>
      <c r="B1229" s="2">
        <v>46150</v>
      </c>
      <c r="C1229" t="s">
        <v>118</v>
      </c>
      <c r="D1229" t="s">
        <v>35</v>
      </c>
      <c r="E1229" t="s">
        <v>121</v>
      </c>
      <c r="F1229" t="s">
        <v>23</v>
      </c>
      <c r="G1229">
        <v>1</v>
      </c>
      <c r="H1229" s="3">
        <v>6.5</v>
      </c>
      <c r="I1229" s="3">
        <v>6.5</v>
      </c>
      <c r="J1229" t="s">
        <v>18</v>
      </c>
      <c r="K1229">
        <v>9</v>
      </c>
      <c r="L1229">
        <v>21</v>
      </c>
      <c r="M1229" t="s">
        <v>19</v>
      </c>
      <c r="N1229">
        <f t="shared" si="38"/>
        <v>6.5</v>
      </c>
      <c r="O1229" t="b">
        <f t="shared" si="39"/>
        <v>1</v>
      </c>
    </row>
    <row r="1230" spans="1:15">
      <c r="A1230" t="s">
        <v>1406</v>
      </c>
      <c r="B1230" s="2">
        <v>46151</v>
      </c>
      <c r="C1230" t="s">
        <v>191</v>
      </c>
      <c r="D1230" t="s">
        <v>35</v>
      </c>
      <c r="E1230" t="s">
        <v>59</v>
      </c>
      <c r="F1230" t="s">
        <v>17</v>
      </c>
      <c r="G1230">
        <v>1</v>
      </c>
      <c r="H1230" s="3">
        <v>11.95</v>
      </c>
      <c r="I1230" s="3">
        <v>11.95</v>
      </c>
      <c r="J1230" t="s">
        <v>18</v>
      </c>
      <c r="K1230">
        <v>6</v>
      </c>
      <c r="L1230">
        <v>17</v>
      </c>
      <c r="M1230" t="s">
        <v>19</v>
      </c>
      <c r="N1230">
        <f t="shared" si="38"/>
        <v>11.95</v>
      </c>
      <c r="O1230" t="b">
        <f t="shared" si="39"/>
        <v>1</v>
      </c>
    </row>
    <row r="1231" spans="1:15">
      <c r="A1231" t="s">
        <v>1407</v>
      </c>
      <c r="B1231" s="2">
        <v>46031</v>
      </c>
      <c r="C1231" t="s">
        <v>66</v>
      </c>
      <c r="D1231" t="s">
        <v>35</v>
      </c>
      <c r="E1231" t="s">
        <v>30</v>
      </c>
      <c r="F1231" t="s">
        <v>31</v>
      </c>
      <c r="G1231">
        <v>1</v>
      </c>
      <c r="H1231" s="3">
        <v>8.5</v>
      </c>
      <c r="I1231" s="3">
        <v>8.5</v>
      </c>
      <c r="J1231" t="s">
        <v>18</v>
      </c>
      <c r="K1231">
        <v>7</v>
      </c>
      <c r="L1231">
        <v>24</v>
      </c>
      <c r="M1231" t="s">
        <v>19</v>
      </c>
      <c r="N1231">
        <f t="shared" si="38"/>
        <v>8.5</v>
      </c>
      <c r="O1231" t="b">
        <f t="shared" si="39"/>
        <v>1</v>
      </c>
    </row>
    <row r="1232" spans="1:15">
      <c r="A1232" t="s">
        <v>1408</v>
      </c>
      <c r="B1232" s="2">
        <v>46063</v>
      </c>
      <c r="C1232" t="s">
        <v>369</v>
      </c>
      <c r="D1232" t="s">
        <v>15</v>
      </c>
      <c r="E1232" t="s">
        <v>93</v>
      </c>
      <c r="F1232" t="s">
        <v>31</v>
      </c>
      <c r="G1232">
        <v>3</v>
      </c>
      <c r="H1232" s="3">
        <v>6.25</v>
      </c>
      <c r="I1232" s="3">
        <v>18.75</v>
      </c>
      <c r="J1232" t="s">
        <v>27</v>
      </c>
      <c r="K1232">
        <v>9</v>
      </c>
      <c r="L1232">
        <v>20</v>
      </c>
      <c r="M1232" t="s">
        <v>19</v>
      </c>
      <c r="N1232">
        <f t="shared" si="38"/>
        <v>18.75</v>
      </c>
      <c r="O1232" t="b">
        <f t="shared" si="39"/>
        <v>1</v>
      </c>
    </row>
    <row r="1233" spans="1:15">
      <c r="A1233" t="s">
        <v>1409</v>
      </c>
      <c r="B1233" s="2">
        <v>46276</v>
      </c>
      <c r="C1233" t="s">
        <v>512</v>
      </c>
      <c r="D1233" t="s">
        <v>15</v>
      </c>
      <c r="E1233" t="s">
        <v>56</v>
      </c>
      <c r="F1233" t="s">
        <v>23</v>
      </c>
      <c r="G1233">
        <v>2</v>
      </c>
      <c r="H1233" s="3">
        <v>3.75</v>
      </c>
      <c r="I1233" s="3">
        <v>7.5</v>
      </c>
      <c r="J1233" t="s">
        <v>18</v>
      </c>
      <c r="K1233">
        <v>4</v>
      </c>
      <c r="L1233">
        <v>18</v>
      </c>
      <c r="M1233" t="s">
        <v>19</v>
      </c>
      <c r="N1233">
        <f t="shared" si="38"/>
        <v>7.5</v>
      </c>
      <c r="O1233" t="b">
        <f t="shared" si="39"/>
        <v>1</v>
      </c>
    </row>
    <row r="1234" spans="1:15">
      <c r="A1234" t="s">
        <v>1410</v>
      </c>
      <c r="B1234" s="2">
        <v>46117</v>
      </c>
      <c r="C1234" t="s">
        <v>52</v>
      </c>
      <c r="D1234" t="s">
        <v>35</v>
      </c>
      <c r="E1234" t="s">
        <v>93</v>
      </c>
      <c r="F1234" t="s">
        <v>31</v>
      </c>
      <c r="G1234">
        <v>1</v>
      </c>
      <c r="H1234" s="3">
        <v>6.25</v>
      </c>
      <c r="I1234" s="3">
        <v>6.25</v>
      </c>
      <c r="J1234" t="s">
        <v>53</v>
      </c>
      <c r="K1234">
        <v>9</v>
      </c>
      <c r="L1234">
        <v>22</v>
      </c>
      <c r="M1234" t="s">
        <v>19</v>
      </c>
      <c r="N1234">
        <f t="shared" si="38"/>
        <v>6.25</v>
      </c>
      <c r="O1234" t="b">
        <f t="shared" si="39"/>
        <v>1</v>
      </c>
    </row>
    <row r="1235" spans="1:15">
      <c r="A1235" t="s">
        <v>1411</v>
      </c>
      <c r="B1235" s="2">
        <v>46031</v>
      </c>
      <c r="C1235" t="s">
        <v>102</v>
      </c>
      <c r="D1235" t="s">
        <v>35</v>
      </c>
      <c r="E1235" t="s">
        <v>83</v>
      </c>
      <c r="F1235" t="s">
        <v>17</v>
      </c>
      <c r="G1235">
        <v>2</v>
      </c>
      <c r="H1235" s="3">
        <v>13.5</v>
      </c>
      <c r="I1235" s="3">
        <v>27</v>
      </c>
      <c r="J1235" t="s">
        <v>27</v>
      </c>
      <c r="K1235">
        <v>4</v>
      </c>
      <c r="L1235">
        <v>34</v>
      </c>
      <c r="M1235" t="s">
        <v>19</v>
      </c>
      <c r="N1235">
        <f t="shared" si="38"/>
        <v>27</v>
      </c>
      <c r="O1235" t="b">
        <f t="shared" si="39"/>
        <v>1</v>
      </c>
    </row>
    <row r="1236" spans="1:15">
      <c r="A1236" t="s">
        <v>1412</v>
      </c>
      <c r="B1236" s="2">
        <v>46250</v>
      </c>
      <c r="C1236" t="s">
        <v>483</v>
      </c>
      <c r="D1236" t="s">
        <v>15</v>
      </c>
      <c r="E1236" t="s">
        <v>70</v>
      </c>
      <c r="F1236" t="s">
        <v>17</v>
      </c>
      <c r="G1236">
        <v>1</v>
      </c>
      <c r="H1236" s="3">
        <v>12.5</v>
      </c>
      <c r="I1236" s="3">
        <v>12.5</v>
      </c>
      <c r="J1236" t="s">
        <v>18</v>
      </c>
      <c r="K1236">
        <v>3</v>
      </c>
      <c r="L1236">
        <v>20</v>
      </c>
      <c r="M1236" t="s">
        <v>19</v>
      </c>
      <c r="N1236">
        <f t="shared" si="38"/>
        <v>12.5</v>
      </c>
      <c r="O1236" t="b">
        <f t="shared" si="39"/>
        <v>1</v>
      </c>
    </row>
    <row r="1237" spans="1:15">
      <c r="A1237" t="s">
        <v>1413</v>
      </c>
      <c r="B1237" s="2">
        <v>46167</v>
      </c>
      <c r="C1237" t="s">
        <v>295</v>
      </c>
      <c r="D1237" t="s">
        <v>15</v>
      </c>
      <c r="E1237" t="s">
        <v>30</v>
      </c>
      <c r="F1237" t="s">
        <v>31</v>
      </c>
      <c r="G1237">
        <v>1</v>
      </c>
      <c r="H1237" s="3">
        <v>8.5</v>
      </c>
      <c r="I1237" s="3">
        <v>8.5</v>
      </c>
      <c r="J1237" t="s">
        <v>18</v>
      </c>
      <c r="K1237">
        <v>29</v>
      </c>
      <c r="L1237">
        <v>8</v>
      </c>
      <c r="M1237" t="s">
        <v>19</v>
      </c>
      <c r="N1237">
        <f t="shared" si="38"/>
        <v>8.5</v>
      </c>
      <c r="O1237" t="b">
        <f t="shared" si="39"/>
        <v>1</v>
      </c>
    </row>
    <row r="1238" spans="1:15">
      <c r="A1238" t="s">
        <v>1414</v>
      </c>
      <c r="B1238" s="2">
        <v>46263</v>
      </c>
      <c r="C1238" t="s">
        <v>273</v>
      </c>
      <c r="D1238" t="s">
        <v>35</v>
      </c>
      <c r="E1238" t="s">
        <v>26</v>
      </c>
      <c r="F1238" t="s">
        <v>17</v>
      </c>
      <c r="G1238">
        <v>1</v>
      </c>
      <c r="H1238" s="3">
        <v>11.5</v>
      </c>
      <c r="I1238" s="3">
        <v>11.5</v>
      </c>
      <c r="J1238" t="s">
        <v>27</v>
      </c>
      <c r="K1238">
        <v>19</v>
      </c>
      <c r="L1238">
        <v>19</v>
      </c>
      <c r="M1238" t="s">
        <v>19</v>
      </c>
      <c r="N1238">
        <f t="shared" si="38"/>
        <v>11.5</v>
      </c>
      <c r="O1238" t="b">
        <f t="shared" si="39"/>
        <v>1</v>
      </c>
    </row>
    <row r="1239" spans="1:15">
      <c r="A1239" t="s">
        <v>1415</v>
      </c>
      <c r="B1239" s="2">
        <v>46131</v>
      </c>
      <c r="C1239" t="s">
        <v>69</v>
      </c>
      <c r="D1239" t="s">
        <v>35</v>
      </c>
      <c r="E1239" t="s">
        <v>22</v>
      </c>
      <c r="F1239" t="s">
        <v>23</v>
      </c>
      <c r="G1239">
        <v>2</v>
      </c>
      <c r="H1239" s="3">
        <v>3.1</v>
      </c>
      <c r="I1239" s="3">
        <v>6.2</v>
      </c>
      <c r="J1239" t="s">
        <v>53</v>
      </c>
      <c r="K1239">
        <v>12</v>
      </c>
      <c r="L1239">
        <v>16</v>
      </c>
      <c r="M1239" t="s">
        <v>19</v>
      </c>
      <c r="N1239">
        <f t="shared" si="38"/>
        <v>6.2</v>
      </c>
      <c r="O1239" t="b">
        <f t="shared" si="39"/>
        <v>1</v>
      </c>
    </row>
    <row r="1240" spans="1:15">
      <c r="A1240" t="s">
        <v>1416</v>
      </c>
      <c r="B1240" s="2">
        <v>46216</v>
      </c>
      <c r="C1240" t="s">
        <v>199</v>
      </c>
      <c r="D1240" t="s">
        <v>35</v>
      </c>
      <c r="E1240" t="s">
        <v>50</v>
      </c>
      <c r="F1240" t="s">
        <v>17</v>
      </c>
      <c r="G1240">
        <v>1</v>
      </c>
      <c r="H1240" s="3">
        <v>14.5</v>
      </c>
      <c r="I1240" s="3">
        <v>14.5</v>
      </c>
      <c r="J1240" t="s">
        <v>53</v>
      </c>
      <c r="K1240">
        <v>30</v>
      </c>
      <c r="L1240">
        <v>22</v>
      </c>
      <c r="M1240" t="s">
        <v>19</v>
      </c>
      <c r="N1240">
        <f t="shared" si="38"/>
        <v>14.5</v>
      </c>
      <c r="O1240" t="b">
        <f t="shared" si="39"/>
        <v>1</v>
      </c>
    </row>
    <row r="1241" spans="1:15">
      <c r="A1241" t="s">
        <v>1417</v>
      </c>
      <c r="B1241" s="2">
        <v>46280</v>
      </c>
      <c r="C1241" t="s">
        <v>99</v>
      </c>
      <c r="D1241" t="s">
        <v>35</v>
      </c>
      <c r="E1241" t="s">
        <v>78</v>
      </c>
      <c r="F1241" t="s">
        <v>47</v>
      </c>
      <c r="G1241">
        <v>1</v>
      </c>
      <c r="H1241" s="3">
        <v>7.25</v>
      </c>
      <c r="I1241" s="3">
        <v>7.25</v>
      </c>
      <c r="J1241" t="s">
        <v>53</v>
      </c>
      <c r="K1241">
        <v>28</v>
      </c>
      <c r="L1241">
        <v>21</v>
      </c>
      <c r="M1241" t="s">
        <v>19</v>
      </c>
      <c r="N1241">
        <f t="shared" si="38"/>
        <v>7.25</v>
      </c>
      <c r="O1241" t="b">
        <f t="shared" si="39"/>
        <v>1</v>
      </c>
    </row>
    <row r="1242" spans="1:15">
      <c r="A1242" t="s">
        <v>1418</v>
      </c>
      <c r="B1242" s="2">
        <v>46049</v>
      </c>
      <c r="C1242" t="s">
        <v>99</v>
      </c>
      <c r="D1242" t="s">
        <v>35</v>
      </c>
      <c r="E1242" t="s">
        <v>22</v>
      </c>
      <c r="F1242" t="s">
        <v>23</v>
      </c>
      <c r="G1242">
        <v>1</v>
      </c>
      <c r="H1242" s="3">
        <v>3.1</v>
      </c>
      <c r="I1242" s="3">
        <v>3.1</v>
      </c>
      <c r="J1242" t="s">
        <v>27</v>
      </c>
      <c r="K1242">
        <v>30</v>
      </c>
      <c r="L1242">
        <v>15</v>
      </c>
      <c r="M1242" t="s">
        <v>19</v>
      </c>
      <c r="N1242">
        <f t="shared" si="38"/>
        <v>3.1</v>
      </c>
      <c r="O1242" t="b">
        <f t="shared" si="39"/>
        <v>1</v>
      </c>
    </row>
    <row r="1243" spans="1:15">
      <c r="A1243" t="s">
        <v>1419</v>
      </c>
      <c r="B1243" s="2">
        <v>46147</v>
      </c>
      <c r="C1243" t="s">
        <v>228</v>
      </c>
      <c r="D1243" t="s">
        <v>35</v>
      </c>
      <c r="E1243" t="s">
        <v>96</v>
      </c>
      <c r="F1243" t="s">
        <v>47</v>
      </c>
      <c r="G1243">
        <v>1</v>
      </c>
      <c r="H1243" s="3">
        <v>5.75</v>
      </c>
      <c r="I1243" s="3">
        <v>5.75</v>
      </c>
      <c r="J1243" t="s">
        <v>27</v>
      </c>
      <c r="K1243">
        <v>23</v>
      </c>
      <c r="L1243">
        <v>27</v>
      </c>
      <c r="M1243" t="s">
        <v>19</v>
      </c>
      <c r="N1243">
        <f t="shared" si="38"/>
        <v>5.75</v>
      </c>
      <c r="O1243" t="b">
        <f t="shared" si="39"/>
        <v>1</v>
      </c>
    </row>
    <row r="1244" spans="1:15">
      <c r="A1244" t="s">
        <v>1420</v>
      </c>
      <c r="B1244" s="2">
        <v>46232</v>
      </c>
      <c r="C1244" t="s">
        <v>312</v>
      </c>
      <c r="D1244" t="s">
        <v>15</v>
      </c>
      <c r="E1244" t="s">
        <v>22</v>
      </c>
      <c r="F1244" t="s">
        <v>23</v>
      </c>
      <c r="G1244">
        <v>1</v>
      </c>
      <c r="H1244" s="3">
        <v>3.1</v>
      </c>
      <c r="I1244" s="3">
        <v>3.1</v>
      </c>
      <c r="J1244" t="s">
        <v>32</v>
      </c>
      <c r="K1244">
        <v>15</v>
      </c>
      <c r="L1244">
        <v>4</v>
      </c>
      <c r="M1244" t="s">
        <v>19</v>
      </c>
      <c r="N1244">
        <f t="shared" si="38"/>
        <v>3.1</v>
      </c>
      <c r="O1244" t="b">
        <f t="shared" si="39"/>
        <v>1</v>
      </c>
    </row>
    <row r="1245" spans="1:15">
      <c r="A1245" t="s">
        <v>1421</v>
      </c>
      <c r="B1245" s="2">
        <v>46140</v>
      </c>
      <c r="C1245" t="s">
        <v>75</v>
      </c>
      <c r="D1245" t="s">
        <v>35</v>
      </c>
      <c r="E1245" t="s">
        <v>16</v>
      </c>
      <c r="F1245" t="s">
        <v>17</v>
      </c>
      <c r="G1245">
        <v>2</v>
      </c>
      <c r="H1245" s="3">
        <v>9.9499999999999993</v>
      </c>
      <c r="I1245" s="3">
        <v>19.899999999999999</v>
      </c>
      <c r="J1245" t="s">
        <v>18</v>
      </c>
      <c r="K1245">
        <v>22</v>
      </c>
      <c r="L1245">
        <v>13</v>
      </c>
      <c r="M1245" t="s">
        <v>19</v>
      </c>
      <c r="N1245">
        <f t="shared" si="38"/>
        <v>19.899999999999999</v>
      </c>
      <c r="O1245" t="b">
        <f t="shared" si="39"/>
        <v>1</v>
      </c>
    </row>
    <row r="1246" spans="1:15">
      <c r="A1246" t="s">
        <v>1422</v>
      </c>
      <c r="B1246" s="2">
        <v>46093</v>
      </c>
      <c r="C1246" t="s">
        <v>118</v>
      </c>
      <c r="D1246" t="s">
        <v>35</v>
      </c>
      <c r="E1246" t="s">
        <v>93</v>
      </c>
      <c r="F1246" t="s">
        <v>31</v>
      </c>
      <c r="G1246">
        <v>1</v>
      </c>
      <c r="H1246" s="3">
        <v>6.25</v>
      </c>
      <c r="I1246" s="3">
        <v>6.25</v>
      </c>
      <c r="J1246" t="s">
        <v>18</v>
      </c>
      <c r="K1246">
        <v>19</v>
      </c>
      <c r="L1246">
        <v>5</v>
      </c>
      <c r="M1246" t="s">
        <v>19</v>
      </c>
      <c r="N1246">
        <f t="shared" si="38"/>
        <v>6.25</v>
      </c>
      <c r="O1246" t="b">
        <f t="shared" si="39"/>
        <v>1</v>
      </c>
    </row>
    <row r="1247" spans="1:15">
      <c r="A1247" t="s">
        <v>1423</v>
      </c>
      <c r="B1247" s="2">
        <v>46124</v>
      </c>
      <c r="C1247" t="s">
        <v>66</v>
      </c>
      <c r="D1247" t="s">
        <v>35</v>
      </c>
      <c r="E1247" t="s">
        <v>106</v>
      </c>
      <c r="F1247" t="s">
        <v>17</v>
      </c>
      <c r="G1247">
        <v>1</v>
      </c>
      <c r="H1247" s="3">
        <v>15.95</v>
      </c>
      <c r="I1247" s="3">
        <v>15.95</v>
      </c>
      <c r="J1247" t="s">
        <v>18</v>
      </c>
      <c r="K1247">
        <v>25</v>
      </c>
      <c r="L1247">
        <v>28</v>
      </c>
      <c r="M1247" t="s">
        <v>19</v>
      </c>
      <c r="N1247">
        <f t="shared" si="38"/>
        <v>15.95</v>
      </c>
      <c r="O1247" t="b">
        <f t="shared" si="39"/>
        <v>1</v>
      </c>
    </row>
    <row r="1248" spans="1:15">
      <c r="A1248" t="s">
        <v>1424</v>
      </c>
      <c r="B1248" s="2">
        <v>46263</v>
      </c>
      <c r="C1248" t="s">
        <v>286</v>
      </c>
      <c r="D1248" t="s">
        <v>35</v>
      </c>
      <c r="E1248" t="s">
        <v>78</v>
      </c>
      <c r="F1248" t="s">
        <v>47</v>
      </c>
      <c r="G1248">
        <v>1</v>
      </c>
      <c r="H1248" s="3">
        <v>7.25</v>
      </c>
      <c r="I1248" s="3">
        <v>7.25</v>
      </c>
      <c r="J1248" t="s">
        <v>18</v>
      </c>
      <c r="K1248">
        <v>28</v>
      </c>
      <c r="L1248">
        <v>23</v>
      </c>
      <c r="M1248" t="s">
        <v>19</v>
      </c>
      <c r="N1248">
        <f t="shared" si="38"/>
        <v>7.25</v>
      </c>
      <c r="O1248" t="b">
        <f t="shared" si="39"/>
        <v>1</v>
      </c>
    </row>
    <row r="1249" spans="1:15">
      <c r="A1249" t="s">
        <v>1425</v>
      </c>
      <c r="B1249" s="2">
        <v>46221</v>
      </c>
      <c r="C1249" t="s">
        <v>120</v>
      </c>
      <c r="D1249" t="s">
        <v>35</v>
      </c>
      <c r="E1249" t="s">
        <v>46</v>
      </c>
      <c r="F1249" t="s">
        <v>47</v>
      </c>
      <c r="G1249">
        <v>2</v>
      </c>
      <c r="H1249" s="3">
        <v>6.95</v>
      </c>
      <c r="I1249" s="3">
        <v>13.9</v>
      </c>
      <c r="J1249" t="s">
        <v>27</v>
      </c>
      <c r="K1249">
        <v>23</v>
      </c>
      <c r="L1249">
        <v>19</v>
      </c>
      <c r="M1249" t="s">
        <v>19</v>
      </c>
      <c r="N1249">
        <f t="shared" si="38"/>
        <v>13.9</v>
      </c>
      <c r="O1249" t="b">
        <f t="shared" si="39"/>
        <v>1</v>
      </c>
    </row>
    <row r="1250" spans="1:15">
      <c r="A1250" t="s">
        <v>1426</v>
      </c>
      <c r="B1250" s="2">
        <v>46195</v>
      </c>
      <c r="C1250" t="s">
        <v>273</v>
      </c>
      <c r="D1250" t="s">
        <v>35</v>
      </c>
      <c r="E1250" t="s">
        <v>56</v>
      </c>
      <c r="F1250" t="s">
        <v>23</v>
      </c>
      <c r="G1250">
        <v>2</v>
      </c>
      <c r="H1250" s="3">
        <v>3.75</v>
      </c>
      <c r="I1250" s="3">
        <v>7.5</v>
      </c>
      <c r="J1250" t="s">
        <v>53</v>
      </c>
      <c r="K1250">
        <v>12</v>
      </c>
      <c r="L1250">
        <v>22</v>
      </c>
      <c r="M1250" t="s">
        <v>19</v>
      </c>
      <c r="N1250">
        <f t="shared" si="38"/>
        <v>7.5</v>
      </c>
      <c r="O1250" t="b">
        <f t="shared" si="39"/>
        <v>1</v>
      </c>
    </row>
    <row r="1251" spans="1:15">
      <c r="A1251" t="s">
        <v>1427</v>
      </c>
      <c r="B1251" s="2">
        <v>46232</v>
      </c>
      <c r="C1251" t="s">
        <v>55</v>
      </c>
      <c r="D1251" t="s">
        <v>35</v>
      </c>
      <c r="E1251" t="s">
        <v>126</v>
      </c>
      <c r="F1251" t="s">
        <v>31</v>
      </c>
      <c r="G1251">
        <v>2</v>
      </c>
      <c r="H1251" s="3">
        <v>7.95</v>
      </c>
      <c r="I1251" s="3">
        <v>15.9</v>
      </c>
      <c r="J1251" t="s">
        <v>18</v>
      </c>
      <c r="K1251">
        <v>5</v>
      </c>
      <c r="L1251">
        <v>22</v>
      </c>
      <c r="M1251" t="s">
        <v>19</v>
      </c>
      <c r="N1251">
        <f t="shared" si="38"/>
        <v>15.9</v>
      </c>
      <c r="O1251" t="b">
        <f t="shared" si="39"/>
        <v>1</v>
      </c>
    </row>
    <row r="1252" spans="1:15">
      <c r="A1252" t="s">
        <v>1428</v>
      </c>
      <c r="B1252" s="2">
        <v>46283</v>
      </c>
      <c r="C1252" t="s">
        <v>391</v>
      </c>
      <c r="D1252" t="s">
        <v>15</v>
      </c>
      <c r="E1252" t="s">
        <v>121</v>
      </c>
      <c r="F1252" t="s">
        <v>23</v>
      </c>
      <c r="G1252">
        <v>1</v>
      </c>
      <c r="H1252" s="3">
        <v>6.5</v>
      </c>
      <c r="I1252" s="3">
        <v>6.5</v>
      </c>
      <c r="J1252" t="s">
        <v>18</v>
      </c>
      <c r="K1252">
        <v>6</v>
      </c>
      <c r="L1252">
        <v>3</v>
      </c>
      <c r="M1252" t="s">
        <v>19</v>
      </c>
      <c r="N1252">
        <f t="shared" si="38"/>
        <v>6.5</v>
      </c>
      <c r="O1252" t="b">
        <f t="shared" si="39"/>
        <v>1</v>
      </c>
    </row>
    <row r="1253" spans="1:15">
      <c r="A1253" t="s">
        <v>1429</v>
      </c>
      <c r="B1253" s="2">
        <v>46166</v>
      </c>
      <c r="C1253" t="s">
        <v>73</v>
      </c>
      <c r="D1253" t="s">
        <v>35</v>
      </c>
      <c r="E1253" t="s">
        <v>126</v>
      </c>
      <c r="F1253" t="s">
        <v>31</v>
      </c>
      <c r="G1253">
        <v>1</v>
      </c>
      <c r="H1253" s="3">
        <v>7.95</v>
      </c>
      <c r="I1253" s="3">
        <v>7.95</v>
      </c>
      <c r="J1253" t="s">
        <v>18</v>
      </c>
      <c r="K1253">
        <v>19</v>
      </c>
      <c r="L1253">
        <v>21</v>
      </c>
      <c r="M1253" t="s">
        <v>19</v>
      </c>
      <c r="N1253">
        <f t="shared" si="38"/>
        <v>7.95</v>
      </c>
      <c r="O1253" t="b">
        <f t="shared" si="39"/>
        <v>1</v>
      </c>
    </row>
    <row r="1254" spans="1:15">
      <c r="A1254" t="s">
        <v>1430</v>
      </c>
      <c r="B1254" s="2">
        <v>46291</v>
      </c>
      <c r="C1254" t="s">
        <v>195</v>
      </c>
      <c r="D1254" t="s">
        <v>35</v>
      </c>
      <c r="E1254" t="s">
        <v>93</v>
      </c>
      <c r="F1254" t="s">
        <v>31</v>
      </c>
      <c r="G1254">
        <v>1</v>
      </c>
      <c r="H1254" s="3">
        <v>6.25</v>
      </c>
      <c r="I1254" s="3">
        <v>0</v>
      </c>
      <c r="J1254" t="s">
        <v>53</v>
      </c>
      <c r="K1254">
        <v>27</v>
      </c>
      <c r="L1254">
        <v>21</v>
      </c>
      <c r="M1254" t="s">
        <v>152</v>
      </c>
      <c r="N1254">
        <f t="shared" si="38"/>
        <v>6.25</v>
      </c>
      <c r="O1254" t="b">
        <f t="shared" si="39"/>
        <v>1</v>
      </c>
    </row>
    <row r="1255" spans="1:15">
      <c r="A1255" t="s">
        <v>1431</v>
      </c>
      <c r="B1255" s="2">
        <v>46130</v>
      </c>
      <c r="C1255" t="s">
        <v>273</v>
      </c>
      <c r="D1255" t="s">
        <v>35</v>
      </c>
      <c r="E1255" t="s">
        <v>56</v>
      </c>
      <c r="F1255" t="s">
        <v>23</v>
      </c>
      <c r="G1255">
        <v>1</v>
      </c>
      <c r="H1255" s="3">
        <v>3.75</v>
      </c>
      <c r="I1255" s="3">
        <v>3.75</v>
      </c>
      <c r="J1255" t="s">
        <v>27</v>
      </c>
      <c r="K1255">
        <v>10</v>
      </c>
      <c r="L1255">
        <v>16</v>
      </c>
      <c r="M1255" t="s">
        <v>19</v>
      </c>
      <c r="N1255">
        <f t="shared" si="38"/>
        <v>3.75</v>
      </c>
      <c r="O1255" t="b">
        <f t="shared" si="39"/>
        <v>1</v>
      </c>
    </row>
    <row r="1256" spans="1:15">
      <c r="A1256" t="s">
        <v>1432</v>
      </c>
      <c r="B1256" s="2">
        <v>46170</v>
      </c>
      <c r="C1256" t="s">
        <v>165</v>
      </c>
      <c r="D1256" t="s">
        <v>15</v>
      </c>
      <c r="E1256" t="s">
        <v>106</v>
      </c>
      <c r="F1256" t="s">
        <v>17</v>
      </c>
      <c r="G1256">
        <v>1</v>
      </c>
      <c r="H1256" s="3">
        <v>15.95</v>
      </c>
      <c r="I1256" s="3">
        <v>15.95</v>
      </c>
      <c r="J1256" t="s">
        <v>27</v>
      </c>
      <c r="K1256">
        <v>30</v>
      </c>
      <c r="L1256">
        <v>26</v>
      </c>
      <c r="M1256" t="s">
        <v>19</v>
      </c>
      <c r="N1256">
        <f t="shared" si="38"/>
        <v>15.95</v>
      </c>
      <c r="O1256" t="b">
        <f t="shared" si="39"/>
        <v>1</v>
      </c>
    </row>
    <row r="1257" spans="1:15">
      <c r="A1257" t="s">
        <v>1433</v>
      </c>
      <c r="B1257" s="2">
        <v>46165</v>
      </c>
      <c r="C1257" t="s">
        <v>108</v>
      </c>
      <c r="D1257" t="s">
        <v>15</v>
      </c>
      <c r="E1257" t="s">
        <v>22</v>
      </c>
      <c r="F1257" t="s">
        <v>23</v>
      </c>
      <c r="G1257">
        <v>2</v>
      </c>
      <c r="H1257" s="3">
        <v>3.1</v>
      </c>
      <c r="I1257" s="3">
        <v>6.2</v>
      </c>
      <c r="J1257" t="s">
        <v>53</v>
      </c>
      <c r="K1257">
        <v>20</v>
      </c>
      <c r="L1257">
        <v>8</v>
      </c>
      <c r="M1257" t="s">
        <v>19</v>
      </c>
      <c r="N1257">
        <f t="shared" si="38"/>
        <v>6.2</v>
      </c>
      <c r="O1257" t="b">
        <f t="shared" si="39"/>
        <v>1</v>
      </c>
    </row>
    <row r="1258" spans="1:15">
      <c r="A1258" t="s">
        <v>1434</v>
      </c>
      <c r="B1258" s="2">
        <v>46122</v>
      </c>
      <c r="C1258" t="s">
        <v>45</v>
      </c>
      <c r="D1258" t="s">
        <v>15</v>
      </c>
      <c r="E1258" t="s">
        <v>70</v>
      </c>
      <c r="F1258" t="s">
        <v>17</v>
      </c>
      <c r="G1258">
        <v>1</v>
      </c>
      <c r="H1258" s="3">
        <v>12.5</v>
      </c>
      <c r="I1258" s="3">
        <v>12.5</v>
      </c>
      <c r="J1258" t="s">
        <v>32</v>
      </c>
      <c r="K1258">
        <v>5</v>
      </c>
      <c r="L1258">
        <v>10</v>
      </c>
      <c r="M1258" t="s">
        <v>19</v>
      </c>
      <c r="N1258">
        <f t="shared" si="38"/>
        <v>12.5</v>
      </c>
      <c r="O1258" t="b">
        <f t="shared" si="39"/>
        <v>1</v>
      </c>
    </row>
    <row r="1259" spans="1:15">
      <c r="A1259" t="s">
        <v>1435</v>
      </c>
      <c r="B1259" s="2">
        <v>46174</v>
      </c>
      <c r="C1259" t="s">
        <v>615</v>
      </c>
      <c r="D1259" t="s">
        <v>35</v>
      </c>
      <c r="E1259" t="s">
        <v>59</v>
      </c>
      <c r="F1259" t="s">
        <v>17</v>
      </c>
      <c r="G1259">
        <v>1</v>
      </c>
      <c r="H1259" s="3">
        <v>11.95</v>
      </c>
      <c r="I1259" s="3">
        <v>11.95</v>
      </c>
      <c r="J1259" t="s">
        <v>27</v>
      </c>
      <c r="K1259">
        <v>16</v>
      </c>
      <c r="L1259">
        <v>22</v>
      </c>
      <c r="M1259" t="s">
        <v>19</v>
      </c>
      <c r="N1259">
        <f t="shared" si="38"/>
        <v>11.95</v>
      </c>
      <c r="O1259" t="b">
        <f t="shared" si="39"/>
        <v>1</v>
      </c>
    </row>
    <row r="1260" spans="1:15">
      <c r="A1260" t="s">
        <v>1436</v>
      </c>
      <c r="B1260" s="2">
        <v>46093</v>
      </c>
      <c r="C1260" t="s">
        <v>230</v>
      </c>
      <c r="D1260" t="s">
        <v>35</v>
      </c>
      <c r="E1260" t="s">
        <v>59</v>
      </c>
      <c r="F1260" t="s">
        <v>17</v>
      </c>
      <c r="G1260">
        <v>3</v>
      </c>
      <c r="H1260" s="3">
        <v>11.95</v>
      </c>
      <c r="I1260" s="3">
        <v>35.85</v>
      </c>
      <c r="J1260" t="s">
        <v>27</v>
      </c>
      <c r="K1260">
        <v>3</v>
      </c>
      <c r="L1260">
        <v>19</v>
      </c>
      <c r="M1260" t="s">
        <v>19</v>
      </c>
      <c r="N1260">
        <f t="shared" si="38"/>
        <v>35.849999999999994</v>
      </c>
      <c r="O1260" t="b">
        <f t="shared" si="39"/>
        <v>1</v>
      </c>
    </row>
    <row r="1261" spans="1:15">
      <c r="A1261" t="s">
        <v>1437</v>
      </c>
      <c r="B1261" s="2">
        <v>46282</v>
      </c>
      <c r="C1261" t="s">
        <v>128</v>
      </c>
      <c r="D1261" t="s">
        <v>15</v>
      </c>
      <c r="E1261" t="s">
        <v>22</v>
      </c>
      <c r="F1261" t="s">
        <v>23</v>
      </c>
      <c r="G1261">
        <v>2</v>
      </c>
      <c r="H1261" s="3">
        <v>3.1</v>
      </c>
      <c r="I1261" s="3">
        <v>6.2</v>
      </c>
      <c r="J1261" t="s">
        <v>18</v>
      </c>
      <c r="K1261">
        <v>23</v>
      </c>
      <c r="L1261">
        <v>4</v>
      </c>
      <c r="M1261" t="s">
        <v>19</v>
      </c>
      <c r="N1261">
        <f t="shared" si="38"/>
        <v>6.2</v>
      </c>
      <c r="O1261" t="b">
        <f t="shared" si="39"/>
        <v>1</v>
      </c>
    </row>
    <row r="1262" spans="1:15">
      <c r="A1262" t="s">
        <v>1438</v>
      </c>
      <c r="B1262" s="2">
        <v>46042</v>
      </c>
      <c r="C1262" t="s">
        <v>99</v>
      </c>
      <c r="D1262" t="s">
        <v>35</v>
      </c>
      <c r="E1262" t="s">
        <v>93</v>
      </c>
      <c r="F1262" t="s">
        <v>31</v>
      </c>
      <c r="G1262">
        <v>1</v>
      </c>
      <c r="H1262" s="3">
        <v>6.25</v>
      </c>
      <c r="I1262" s="3">
        <v>6.25</v>
      </c>
      <c r="J1262" t="s">
        <v>53</v>
      </c>
      <c r="K1262">
        <v>2</v>
      </c>
      <c r="L1262">
        <v>13</v>
      </c>
      <c r="M1262" t="s">
        <v>19</v>
      </c>
      <c r="N1262">
        <f t="shared" si="38"/>
        <v>6.25</v>
      </c>
      <c r="O1262" t="b">
        <f t="shared" si="39"/>
        <v>1</v>
      </c>
    </row>
    <row r="1263" spans="1:15">
      <c r="A1263" t="s">
        <v>1439</v>
      </c>
      <c r="B1263" s="2">
        <v>46027</v>
      </c>
      <c r="C1263" t="s">
        <v>220</v>
      </c>
      <c r="D1263" t="s">
        <v>15</v>
      </c>
      <c r="E1263" t="s">
        <v>16</v>
      </c>
      <c r="F1263" t="s">
        <v>17</v>
      </c>
      <c r="G1263">
        <v>2</v>
      </c>
      <c r="H1263" s="3">
        <v>9.9499999999999993</v>
      </c>
      <c r="I1263" s="3">
        <v>19.899999999999999</v>
      </c>
      <c r="J1263" t="s">
        <v>27</v>
      </c>
      <c r="K1263">
        <v>16</v>
      </c>
      <c r="L1263">
        <v>5</v>
      </c>
      <c r="M1263" t="s">
        <v>19</v>
      </c>
      <c r="N1263">
        <f t="shared" si="38"/>
        <v>19.899999999999999</v>
      </c>
      <c r="O1263" t="b">
        <f t="shared" si="39"/>
        <v>1</v>
      </c>
    </row>
    <row r="1264" spans="1:15">
      <c r="A1264" t="s">
        <v>1440</v>
      </c>
      <c r="B1264" s="2">
        <v>46118</v>
      </c>
      <c r="C1264" t="s">
        <v>120</v>
      </c>
      <c r="D1264" t="s">
        <v>35</v>
      </c>
      <c r="E1264" t="s">
        <v>70</v>
      </c>
      <c r="F1264" t="s">
        <v>17</v>
      </c>
      <c r="G1264">
        <v>2</v>
      </c>
      <c r="H1264" s="3">
        <v>12.5</v>
      </c>
      <c r="I1264" s="3">
        <v>25</v>
      </c>
      <c r="J1264" t="s">
        <v>27</v>
      </c>
      <c r="K1264">
        <v>24</v>
      </c>
      <c r="L1264">
        <v>31</v>
      </c>
      <c r="M1264" t="s">
        <v>19</v>
      </c>
      <c r="N1264">
        <f t="shared" si="38"/>
        <v>25</v>
      </c>
      <c r="O1264" t="b">
        <f t="shared" si="39"/>
        <v>1</v>
      </c>
    </row>
    <row r="1265" spans="1:15">
      <c r="A1265" t="s">
        <v>1441</v>
      </c>
      <c r="B1265" s="2">
        <v>46245</v>
      </c>
      <c r="C1265" t="s">
        <v>408</v>
      </c>
      <c r="D1265" t="s">
        <v>15</v>
      </c>
      <c r="E1265" t="s">
        <v>70</v>
      </c>
      <c r="F1265" t="s">
        <v>17</v>
      </c>
      <c r="G1265">
        <v>2</v>
      </c>
      <c r="H1265" s="3">
        <v>12.5</v>
      </c>
      <c r="I1265" s="3">
        <v>25</v>
      </c>
      <c r="J1265" t="s">
        <v>18</v>
      </c>
      <c r="K1265">
        <v>14</v>
      </c>
      <c r="L1265">
        <v>12</v>
      </c>
      <c r="M1265" t="s">
        <v>19</v>
      </c>
      <c r="N1265">
        <f t="shared" si="38"/>
        <v>25</v>
      </c>
      <c r="O1265" t="b">
        <f t="shared" si="39"/>
        <v>1</v>
      </c>
    </row>
    <row r="1266" spans="1:15">
      <c r="A1266" t="s">
        <v>1442</v>
      </c>
      <c r="B1266" s="2">
        <v>46217</v>
      </c>
      <c r="C1266" t="s">
        <v>110</v>
      </c>
      <c r="D1266" t="s">
        <v>35</v>
      </c>
      <c r="E1266" t="s">
        <v>30</v>
      </c>
      <c r="F1266" t="s">
        <v>31</v>
      </c>
      <c r="G1266">
        <v>1</v>
      </c>
      <c r="H1266" s="3">
        <v>8.5</v>
      </c>
      <c r="I1266" s="3">
        <v>8.5</v>
      </c>
      <c r="J1266" t="s">
        <v>27</v>
      </c>
      <c r="K1266">
        <v>27</v>
      </c>
      <c r="L1266">
        <v>31</v>
      </c>
      <c r="M1266" t="s">
        <v>19</v>
      </c>
      <c r="N1266">
        <f t="shared" si="38"/>
        <v>8.5</v>
      </c>
      <c r="O1266" t="b">
        <f t="shared" si="39"/>
        <v>1</v>
      </c>
    </row>
    <row r="1267" spans="1:15">
      <c r="A1267" t="s">
        <v>1443</v>
      </c>
      <c r="B1267" s="2">
        <v>46172</v>
      </c>
      <c r="C1267" t="s">
        <v>137</v>
      </c>
      <c r="D1267" t="s">
        <v>35</v>
      </c>
      <c r="E1267" t="s">
        <v>46</v>
      </c>
      <c r="F1267" t="s">
        <v>47</v>
      </c>
      <c r="G1267">
        <v>2</v>
      </c>
      <c r="H1267" s="3">
        <v>6.95</v>
      </c>
      <c r="I1267" s="3">
        <v>13.9</v>
      </c>
      <c r="J1267" t="s">
        <v>27</v>
      </c>
      <c r="K1267">
        <v>16</v>
      </c>
      <c r="L1267">
        <v>16</v>
      </c>
      <c r="M1267" t="s">
        <v>19</v>
      </c>
      <c r="N1267">
        <f t="shared" si="38"/>
        <v>13.9</v>
      </c>
      <c r="O1267" t="b">
        <f t="shared" si="39"/>
        <v>1</v>
      </c>
    </row>
    <row r="1268" spans="1:15">
      <c r="A1268" t="s">
        <v>1444</v>
      </c>
      <c r="B1268" s="2">
        <v>46135</v>
      </c>
      <c r="C1268" t="s">
        <v>288</v>
      </c>
      <c r="D1268" t="s">
        <v>15</v>
      </c>
      <c r="E1268" t="s">
        <v>96</v>
      </c>
      <c r="F1268" t="s">
        <v>47</v>
      </c>
      <c r="G1268">
        <v>1</v>
      </c>
      <c r="H1268" s="3">
        <v>5.75</v>
      </c>
      <c r="I1268" s="3">
        <v>5.75</v>
      </c>
      <c r="J1268" t="s">
        <v>18</v>
      </c>
      <c r="K1268">
        <v>11</v>
      </c>
      <c r="L1268">
        <v>12</v>
      </c>
      <c r="M1268" t="s">
        <v>19</v>
      </c>
      <c r="N1268">
        <f t="shared" si="38"/>
        <v>5.75</v>
      </c>
      <c r="O1268" t="b">
        <f t="shared" si="39"/>
        <v>1</v>
      </c>
    </row>
    <row r="1269" spans="1:15">
      <c r="A1269" t="s">
        <v>1445</v>
      </c>
      <c r="B1269" s="2">
        <v>46200</v>
      </c>
      <c r="C1269" t="s">
        <v>112</v>
      </c>
      <c r="D1269" t="s">
        <v>35</v>
      </c>
      <c r="E1269" t="s">
        <v>103</v>
      </c>
      <c r="F1269" t="s">
        <v>23</v>
      </c>
      <c r="G1269">
        <v>2</v>
      </c>
      <c r="H1269" s="3">
        <v>3.25</v>
      </c>
      <c r="I1269" s="3">
        <v>6.5</v>
      </c>
      <c r="J1269" t="s">
        <v>18</v>
      </c>
      <c r="K1269">
        <v>20</v>
      </c>
      <c r="L1269">
        <v>14</v>
      </c>
      <c r="M1269" t="s">
        <v>19</v>
      </c>
      <c r="N1269">
        <f t="shared" si="38"/>
        <v>6.5</v>
      </c>
      <c r="O1269" t="b">
        <f t="shared" si="39"/>
        <v>1</v>
      </c>
    </row>
    <row r="1270" spans="1:15">
      <c r="A1270" t="s">
        <v>1446</v>
      </c>
      <c r="B1270" s="2">
        <v>46143</v>
      </c>
      <c r="C1270" t="s">
        <v>312</v>
      </c>
      <c r="D1270" t="s">
        <v>15</v>
      </c>
      <c r="E1270" t="s">
        <v>70</v>
      </c>
      <c r="F1270" t="s">
        <v>17</v>
      </c>
      <c r="G1270">
        <v>3</v>
      </c>
      <c r="H1270" s="3">
        <v>12.5</v>
      </c>
      <c r="I1270" s="3">
        <v>37.5</v>
      </c>
      <c r="J1270" t="s">
        <v>18</v>
      </c>
      <c r="K1270">
        <v>9</v>
      </c>
      <c r="L1270">
        <v>25</v>
      </c>
      <c r="M1270" t="s">
        <v>19</v>
      </c>
      <c r="N1270">
        <f t="shared" si="38"/>
        <v>37.5</v>
      </c>
      <c r="O1270" t="b">
        <f t="shared" si="39"/>
        <v>1</v>
      </c>
    </row>
    <row r="1271" spans="1:15">
      <c r="A1271" t="s">
        <v>1447</v>
      </c>
      <c r="B1271" s="2">
        <v>46233</v>
      </c>
      <c r="C1271" t="s">
        <v>212</v>
      </c>
      <c r="D1271" t="s">
        <v>35</v>
      </c>
      <c r="E1271" t="s">
        <v>46</v>
      </c>
      <c r="F1271" t="s">
        <v>47</v>
      </c>
      <c r="G1271">
        <v>1</v>
      </c>
      <c r="H1271" s="3">
        <v>6.95</v>
      </c>
      <c r="I1271" s="3">
        <v>6.95</v>
      </c>
      <c r="J1271" t="s">
        <v>18</v>
      </c>
      <c r="K1271">
        <v>9</v>
      </c>
      <c r="L1271">
        <v>23</v>
      </c>
      <c r="M1271" t="s">
        <v>19</v>
      </c>
      <c r="N1271">
        <f t="shared" si="38"/>
        <v>6.95</v>
      </c>
      <c r="O1271" t="b">
        <f t="shared" si="39"/>
        <v>1</v>
      </c>
    </row>
    <row r="1272" spans="1:15">
      <c r="A1272" t="s">
        <v>1448</v>
      </c>
      <c r="B1272" s="2">
        <v>46135</v>
      </c>
      <c r="C1272" t="s">
        <v>460</v>
      </c>
      <c r="D1272" t="s">
        <v>15</v>
      </c>
      <c r="E1272" t="s">
        <v>96</v>
      </c>
      <c r="F1272" t="s">
        <v>47</v>
      </c>
      <c r="G1272">
        <v>1</v>
      </c>
      <c r="H1272" s="3">
        <v>5.75</v>
      </c>
      <c r="I1272" s="3">
        <v>5.75</v>
      </c>
      <c r="J1272" t="s">
        <v>18</v>
      </c>
      <c r="K1272">
        <v>25</v>
      </c>
      <c r="L1272">
        <v>21</v>
      </c>
      <c r="M1272" t="s">
        <v>19</v>
      </c>
      <c r="N1272">
        <f t="shared" si="38"/>
        <v>5.75</v>
      </c>
      <c r="O1272" t="b">
        <f t="shared" si="39"/>
        <v>1</v>
      </c>
    </row>
    <row r="1273" spans="1:15">
      <c r="A1273" t="s">
        <v>1449</v>
      </c>
      <c r="B1273" s="2">
        <v>46191</v>
      </c>
      <c r="C1273" t="s">
        <v>58</v>
      </c>
      <c r="D1273" t="s">
        <v>15</v>
      </c>
      <c r="E1273" t="s">
        <v>26</v>
      </c>
      <c r="F1273" t="s">
        <v>17</v>
      </c>
      <c r="G1273">
        <v>2</v>
      </c>
      <c r="H1273" s="3">
        <v>11.5</v>
      </c>
      <c r="I1273" s="3">
        <v>23</v>
      </c>
      <c r="J1273" t="s">
        <v>18</v>
      </c>
      <c r="K1273">
        <v>25</v>
      </c>
      <c r="L1273">
        <v>10</v>
      </c>
      <c r="M1273" t="s">
        <v>19</v>
      </c>
      <c r="N1273">
        <f t="shared" si="38"/>
        <v>23</v>
      </c>
      <c r="O1273" t="b">
        <f t="shared" si="39"/>
        <v>1</v>
      </c>
    </row>
    <row r="1274" spans="1:15">
      <c r="A1274" t="s">
        <v>1450</v>
      </c>
      <c r="B1274" s="2">
        <v>46203</v>
      </c>
      <c r="C1274" t="s">
        <v>82</v>
      </c>
      <c r="D1274" t="s">
        <v>35</v>
      </c>
      <c r="E1274" t="s">
        <v>83</v>
      </c>
      <c r="F1274" t="s">
        <v>17</v>
      </c>
      <c r="G1274">
        <v>1</v>
      </c>
      <c r="H1274" s="3">
        <v>13.5</v>
      </c>
      <c r="I1274" s="3">
        <v>13.5</v>
      </c>
      <c r="J1274" t="s">
        <v>18</v>
      </c>
      <c r="K1274">
        <v>27</v>
      </c>
      <c r="L1274">
        <v>5</v>
      </c>
      <c r="M1274" t="s">
        <v>19</v>
      </c>
      <c r="N1274">
        <f t="shared" si="38"/>
        <v>13.5</v>
      </c>
      <c r="O1274" t="b">
        <f t="shared" si="39"/>
        <v>1</v>
      </c>
    </row>
    <row r="1275" spans="1:15">
      <c r="A1275" t="s">
        <v>1451</v>
      </c>
      <c r="B1275" s="2">
        <v>46140</v>
      </c>
      <c r="C1275" t="s">
        <v>175</v>
      </c>
      <c r="D1275" t="s">
        <v>15</v>
      </c>
      <c r="E1275" t="s">
        <v>93</v>
      </c>
      <c r="F1275" t="s">
        <v>31</v>
      </c>
      <c r="G1275">
        <v>1</v>
      </c>
      <c r="H1275" s="3">
        <v>6.25</v>
      </c>
      <c r="I1275" s="3">
        <v>6.25</v>
      </c>
      <c r="J1275" t="s">
        <v>27</v>
      </c>
      <c r="K1275">
        <v>24</v>
      </c>
      <c r="L1275">
        <v>12</v>
      </c>
      <c r="M1275" t="s">
        <v>19</v>
      </c>
      <c r="N1275">
        <f t="shared" si="38"/>
        <v>6.25</v>
      </c>
      <c r="O1275" t="b">
        <f t="shared" si="39"/>
        <v>1</v>
      </c>
    </row>
    <row r="1276" spans="1:15">
      <c r="A1276" t="s">
        <v>1452</v>
      </c>
      <c r="B1276" s="2">
        <v>46029</v>
      </c>
      <c r="C1276" t="s">
        <v>178</v>
      </c>
      <c r="D1276" t="s">
        <v>15</v>
      </c>
      <c r="E1276" t="s">
        <v>59</v>
      </c>
      <c r="F1276" t="s">
        <v>17</v>
      </c>
      <c r="G1276">
        <v>1</v>
      </c>
      <c r="H1276" s="3">
        <v>11.95</v>
      </c>
      <c r="I1276" s="3">
        <v>11.95</v>
      </c>
      <c r="J1276" t="s">
        <v>27</v>
      </c>
      <c r="K1276">
        <v>1</v>
      </c>
      <c r="L1276">
        <v>20</v>
      </c>
      <c r="M1276" t="s">
        <v>19</v>
      </c>
      <c r="N1276">
        <f t="shared" si="38"/>
        <v>11.95</v>
      </c>
      <c r="O1276" t="b">
        <f t="shared" si="39"/>
        <v>1</v>
      </c>
    </row>
    <row r="1277" spans="1:15">
      <c r="A1277" t="s">
        <v>1453</v>
      </c>
      <c r="B1277" s="2">
        <v>46149</v>
      </c>
      <c r="C1277" t="s">
        <v>352</v>
      </c>
      <c r="D1277" t="s">
        <v>15</v>
      </c>
      <c r="E1277" t="s">
        <v>46</v>
      </c>
      <c r="F1277" t="s">
        <v>47</v>
      </c>
      <c r="G1277">
        <v>1</v>
      </c>
      <c r="H1277" s="3">
        <v>6.95</v>
      </c>
      <c r="I1277" s="3">
        <v>0</v>
      </c>
      <c r="J1277" t="s">
        <v>27</v>
      </c>
      <c r="K1277">
        <v>29</v>
      </c>
      <c r="L1277">
        <v>17</v>
      </c>
      <c r="M1277" t="s">
        <v>152</v>
      </c>
      <c r="N1277">
        <f t="shared" si="38"/>
        <v>6.95</v>
      </c>
      <c r="O1277" t="b">
        <f t="shared" si="39"/>
        <v>1</v>
      </c>
    </row>
    <row r="1278" spans="1:15">
      <c r="A1278" t="s">
        <v>1454</v>
      </c>
      <c r="B1278" s="2">
        <v>46066</v>
      </c>
      <c r="C1278" t="s">
        <v>320</v>
      </c>
      <c r="D1278" t="s">
        <v>15</v>
      </c>
      <c r="E1278" t="s">
        <v>78</v>
      </c>
      <c r="F1278" t="s">
        <v>47</v>
      </c>
      <c r="G1278">
        <v>1</v>
      </c>
      <c r="H1278" s="3">
        <v>7.25</v>
      </c>
      <c r="I1278" s="3">
        <v>0</v>
      </c>
      <c r="J1278" t="s">
        <v>27</v>
      </c>
      <c r="K1278">
        <v>5</v>
      </c>
      <c r="L1278">
        <v>19</v>
      </c>
      <c r="M1278" t="s">
        <v>152</v>
      </c>
      <c r="N1278">
        <f t="shared" si="38"/>
        <v>7.25</v>
      </c>
      <c r="O1278" t="b">
        <f t="shared" si="39"/>
        <v>1</v>
      </c>
    </row>
    <row r="1279" spans="1:15">
      <c r="A1279" t="s">
        <v>1455</v>
      </c>
      <c r="B1279" s="2">
        <v>46223</v>
      </c>
      <c r="C1279" t="s">
        <v>25</v>
      </c>
      <c r="D1279" t="s">
        <v>15</v>
      </c>
      <c r="E1279" t="s">
        <v>93</v>
      </c>
      <c r="F1279" t="s">
        <v>31</v>
      </c>
      <c r="G1279">
        <v>1</v>
      </c>
      <c r="H1279" s="3">
        <v>6.25</v>
      </c>
      <c r="I1279" s="3">
        <v>0</v>
      </c>
      <c r="J1279" t="s">
        <v>27</v>
      </c>
      <c r="K1279">
        <v>1</v>
      </c>
      <c r="L1279">
        <v>8</v>
      </c>
      <c r="M1279" t="s">
        <v>152</v>
      </c>
      <c r="N1279">
        <f t="shared" si="38"/>
        <v>6.25</v>
      </c>
      <c r="O1279" t="b">
        <f t="shared" si="39"/>
        <v>1</v>
      </c>
    </row>
    <row r="1280" spans="1:15">
      <c r="A1280" t="s">
        <v>1456</v>
      </c>
      <c r="B1280" s="2">
        <v>46257</v>
      </c>
      <c r="C1280" t="s">
        <v>326</v>
      </c>
      <c r="D1280" t="s">
        <v>15</v>
      </c>
      <c r="E1280" t="s">
        <v>121</v>
      </c>
      <c r="F1280" t="s">
        <v>23</v>
      </c>
      <c r="G1280">
        <v>1</v>
      </c>
      <c r="H1280" s="3">
        <v>6.5</v>
      </c>
      <c r="I1280" s="3">
        <v>6.5</v>
      </c>
      <c r="J1280" t="s">
        <v>18</v>
      </c>
      <c r="K1280">
        <v>14</v>
      </c>
      <c r="L1280">
        <v>5</v>
      </c>
      <c r="M1280" t="s">
        <v>19</v>
      </c>
      <c r="N1280">
        <f t="shared" si="38"/>
        <v>6.5</v>
      </c>
      <c r="O1280" t="b">
        <f t="shared" si="39"/>
        <v>1</v>
      </c>
    </row>
    <row r="1281" spans="1:15">
      <c r="A1281" t="s">
        <v>1457</v>
      </c>
      <c r="B1281" s="2">
        <v>46270</v>
      </c>
      <c r="C1281" t="s">
        <v>369</v>
      </c>
      <c r="D1281" t="s">
        <v>15</v>
      </c>
      <c r="E1281" t="s">
        <v>16</v>
      </c>
      <c r="F1281" t="s">
        <v>17</v>
      </c>
      <c r="G1281">
        <v>1</v>
      </c>
      <c r="H1281" s="3">
        <v>9.9499999999999993</v>
      </c>
      <c r="I1281" s="3">
        <v>9.9499999999999993</v>
      </c>
      <c r="J1281" t="s">
        <v>18</v>
      </c>
      <c r="K1281">
        <v>24</v>
      </c>
      <c r="L1281">
        <v>17</v>
      </c>
      <c r="M1281" t="s">
        <v>19</v>
      </c>
      <c r="N1281">
        <f t="shared" si="38"/>
        <v>9.9499999999999993</v>
      </c>
      <c r="O1281" t="b">
        <f t="shared" si="39"/>
        <v>1</v>
      </c>
    </row>
    <row r="1282" spans="1:15">
      <c r="A1282" t="s">
        <v>1458</v>
      </c>
      <c r="B1282" s="2">
        <v>46213</v>
      </c>
      <c r="C1282" t="s">
        <v>279</v>
      </c>
      <c r="D1282" t="s">
        <v>35</v>
      </c>
      <c r="E1282" t="s">
        <v>96</v>
      </c>
      <c r="F1282" t="s">
        <v>47</v>
      </c>
      <c r="G1282">
        <v>1</v>
      </c>
      <c r="H1282" s="3">
        <v>5.75</v>
      </c>
      <c r="I1282" s="3">
        <v>5.75</v>
      </c>
      <c r="J1282" t="s">
        <v>18</v>
      </c>
      <c r="K1282">
        <v>12</v>
      </c>
      <c r="L1282">
        <v>16</v>
      </c>
      <c r="M1282" t="s">
        <v>19</v>
      </c>
      <c r="N1282">
        <f t="shared" ref="N1282:N1345" si="40">G1282*H1282</f>
        <v>5.75</v>
      </c>
      <c r="O1282" t="b">
        <f t="shared" ref="O1282:O1345" si="41">OR(AND(M1282="Completed",I1282=N1282),AND(M1282="Refunded",ABS(I1282)=N1282),AND(M1282="Cancelled",I1282=0))</f>
        <v>1</v>
      </c>
    </row>
    <row r="1283" spans="1:15">
      <c r="A1283" t="s">
        <v>1459</v>
      </c>
      <c r="B1283" s="2">
        <v>46078</v>
      </c>
      <c r="C1283" t="s">
        <v>120</v>
      </c>
      <c r="D1283" t="s">
        <v>35</v>
      </c>
      <c r="E1283" t="s">
        <v>39</v>
      </c>
      <c r="F1283" t="s">
        <v>17</v>
      </c>
      <c r="G1283">
        <v>1</v>
      </c>
      <c r="H1283" s="3">
        <v>12.95</v>
      </c>
      <c r="I1283" s="3">
        <v>12.95</v>
      </c>
      <c r="J1283" t="s">
        <v>53</v>
      </c>
      <c r="K1283">
        <v>7</v>
      </c>
      <c r="L1283">
        <v>22</v>
      </c>
      <c r="M1283" t="s">
        <v>19</v>
      </c>
      <c r="N1283">
        <f t="shared" si="40"/>
        <v>12.95</v>
      </c>
      <c r="O1283" t="b">
        <f t="shared" si="41"/>
        <v>1</v>
      </c>
    </row>
    <row r="1284" spans="1:15">
      <c r="A1284" t="s">
        <v>1460</v>
      </c>
      <c r="B1284" s="2">
        <v>46273</v>
      </c>
      <c r="C1284" t="s">
        <v>142</v>
      </c>
      <c r="D1284" t="s">
        <v>35</v>
      </c>
      <c r="E1284" t="s">
        <v>46</v>
      </c>
      <c r="F1284" t="s">
        <v>47</v>
      </c>
      <c r="G1284">
        <v>2</v>
      </c>
      <c r="H1284" s="3">
        <v>6.95</v>
      </c>
      <c r="I1284" s="3">
        <v>13.9</v>
      </c>
      <c r="J1284" t="s">
        <v>27</v>
      </c>
      <c r="K1284">
        <v>25</v>
      </c>
      <c r="L1284">
        <v>8</v>
      </c>
      <c r="M1284" t="s">
        <v>19</v>
      </c>
      <c r="N1284">
        <f t="shared" si="40"/>
        <v>13.9</v>
      </c>
      <c r="O1284" t="b">
        <f t="shared" si="41"/>
        <v>1</v>
      </c>
    </row>
    <row r="1285" spans="1:15">
      <c r="A1285" t="s">
        <v>1461</v>
      </c>
      <c r="B1285" s="2">
        <v>46275</v>
      </c>
      <c r="C1285" t="s">
        <v>328</v>
      </c>
      <c r="D1285" t="s">
        <v>15</v>
      </c>
      <c r="E1285" t="s">
        <v>93</v>
      </c>
      <c r="F1285" t="s">
        <v>31</v>
      </c>
      <c r="G1285">
        <v>2</v>
      </c>
      <c r="H1285" s="3">
        <v>6.25</v>
      </c>
      <c r="I1285" s="3">
        <v>12.5</v>
      </c>
      <c r="J1285" t="s">
        <v>18</v>
      </c>
      <c r="K1285">
        <v>11</v>
      </c>
      <c r="L1285">
        <v>14</v>
      </c>
      <c r="M1285" t="s">
        <v>19</v>
      </c>
      <c r="N1285">
        <f t="shared" si="40"/>
        <v>12.5</v>
      </c>
      <c r="O1285" t="b">
        <f t="shared" si="41"/>
        <v>1</v>
      </c>
    </row>
    <row r="1286" spans="1:15">
      <c r="A1286" t="s">
        <v>1462</v>
      </c>
      <c r="B1286" s="2">
        <v>46231</v>
      </c>
      <c r="C1286" t="s">
        <v>551</v>
      </c>
      <c r="D1286" t="s">
        <v>35</v>
      </c>
      <c r="E1286" t="s">
        <v>70</v>
      </c>
      <c r="F1286" t="s">
        <v>17</v>
      </c>
      <c r="G1286">
        <v>2</v>
      </c>
      <c r="H1286" s="3">
        <v>12.5</v>
      </c>
      <c r="I1286" s="3">
        <v>25</v>
      </c>
      <c r="J1286" t="s">
        <v>27</v>
      </c>
      <c r="K1286">
        <v>21</v>
      </c>
      <c r="L1286">
        <v>15</v>
      </c>
      <c r="M1286" t="s">
        <v>19</v>
      </c>
      <c r="N1286">
        <f t="shared" si="40"/>
        <v>25</v>
      </c>
      <c r="O1286" t="b">
        <f t="shared" si="41"/>
        <v>1</v>
      </c>
    </row>
    <row r="1287" spans="1:15">
      <c r="A1287" t="s">
        <v>1463</v>
      </c>
      <c r="B1287" s="2">
        <v>46259</v>
      </c>
      <c r="C1287" t="s">
        <v>254</v>
      </c>
      <c r="D1287" t="s">
        <v>35</v>
      </c>
      <c r="E1287" t="s">
        <v>39</v>
      </c>
      <c r="F1287" t="s">
        <v>17</v>
      </c>
      <c r="G1287">
        <v>3</v>
      </c>
      <c r="H1287" s="3">
        <v>12.95</v>
      </c>
      <c r="I1287" s="3">
        <v>38.85</v>
      </c>
      <c r="J1287" t="s">
        <v>27</v>
      </c>
      <c r="K1287">
        <v>23</v>
      </c>
      <c r="L1287">
        <v>18</v>
      </c>
      <c r="M1287" t="s">
        <v>19</v>
      </c>
      <c r="N1287">
        <f t="shared" si="40"/>
        <v>38.849999999999994</v>
      </c>
      <c r="O1287" t="b">
        <f t="shared" si="41"/>
        <v>1</v>
      </c>
    </row>
    <row r="1288" spans="1:15">
      <c r="A1288" t="s">
        <v>1464</v>
      </c>
      <c r="B1288" s="2">
        <v>46088</v>
      </c>
      <c r="C1288" t="s">
        <v>75</v>
      </c>
      <c r="D1288" t="s">
        <v>35</v>
      </c>
      <c r="E1288" t="s">
        <v>59</v>
      </c>
      <c r="F1288" t="s">
        <v>17</v>
      </c>
      <c r="G1288">
        <v>1</v>
      </c>
      <c r="H1288" s="3">
        <v>11.95</v>
      </c>
      <c r="I1288" s="3">
        <v>11.95</v>
      </c>
      <c r="J1288" t="s">
        <v>18</v>
      </c>
      <c r="K1288">
        <v>29</v>
      </c>
      <c r="L1288">
        <v>22</v>
      </c>
      <c r="M1288" t="s">
        <v>19</v>
      </c>
      <c r="N1288">
        <f t="shared" si="40"/>
        <v>11.95</v>
      </c>
      <c r="O1288" t="b">
        <f t="shared" si="41"/>
        <v>1</v>
      </c>
    </row>
    <row r="1289" spans="1:15">
      <c r="A1289" t="s">
        <v>1465</v>
      </c>
      <c r="B1289" s="2">
        <v>46110</v>
      </c>
      <c r="C1289" t="s">
        <v>139</v>
      </c>
      <c r="D1289" t="s">
        <v>35</v>
      </c>
      <c r="E1289" t="s">
        <v>50</v>
      </c>
      <c r="F1289" t="s">
        <v>17</v>
      </c>
      <c r="G1289">
        <v>2</v>
      </c>
      <c r="H1289" s="3">
        <v>14.5</v>
      </c>
      <c r="I1289" s="3">
        <v>29</v>
      </c>
      <c r="J1289" t="s">
        <v>18</v>
      </c>
      <c r="K1289">
        <v>14</v>
      </c>
      <c r="L1289">
        <v>17</v>
      </c>
      <c r="M1289" t="s">
        <v>19</v>
      </c>
      <c r="N1289">
        <f t="shared" si="40"/>
        <v>29</v>
      </c>
      <c r="O1289" t="b">
        <f t="shared" si="41"/>
        <v>1</v>
      </c>
    </row>
    <row r="1290" spans="1:15">
      <c r="A1290" t="s">
        <v>1466</v>
      </c>
      <c r="B1290" s="2">
        <v>46174</v>
      </c>
      <c r="C1290" t="s">
        <v>328</v>
      </c>
      <c r="D1290" t="s">
        <v>15</v>
      </c>
      <c r="E1290" t="s">
        <v>41</v>
      </c>
      <c r="F1290" t="s">
        <v>31</v>
      </c>
      <c r="G1290">
        <v>1</v>
      </c>
      <c r="H1290" s="3">
        <v>5.5</v>
      </c>
      <c r="I1290" s="3">
        <v>5.5</v>
      </c>
      <c r="J1290" t="s">
        <v>27</v>
      </c>
      <c r="K1290">
        <v>6</v>
      </c>
      <c r="L1290">
        <v>21</v>
      </c>
      <c r="M1290" t="s">
        <v>19</v>
      </c>
      <c r="N1290">
        <f t="shared" si="40"/>
        <v>5.5</v>
      </c>
      <c r="O1290" t="b">
        <f t="shared" si="41"/>
        <v>1</v>
      </c>
    </row>
    <row r="1291" spans="1:15">
      <c r="A1291" t="s">
        <v>1467</v>
      </c>
      <c r="B1291" s="2">
        <v>46290</v>
      </c>
      <c r="C1291" t="s">
        <v>69</v>
      </c>
      <c r="D1291" t="s">
        <v>35</v>
      </c>
      <c r="E1291" t="s">
        <v>30</v>
      </c>
      <c r="F1291" t="s">
        <v>31</v>
      </c>
      <c r="G1291">
        <v>1</v>
      </c>
      <c r="H1291" s="3">
        <v>8.5</v>
      </c>
      <c r="I1291" s="3">
        <v>8.5</v>
      </c>
      <c r="J1291" t="s">
        <v>18</v>
      </c>
      <c r="K1291">
        <v>16</v>
      </c>
      <c r="L1291">
        <v>15</v>
      </c>
      <c r="M1291" t="s">
        <v>19</v>
      </c>
      <c r="N1291">
        <f t="shared" si="40"/>
        <v>8.5</v>
      </c>
      <c r="O1291" t="b">
        <f t="shared" si="41"/>
        <v>1</v>
      </c>
    </row>
    <row r="1292" spans="1:15">
      <c r="A1292" t="s">
        <v>1468</v>
      </c>
      <c r="B1292" s="2">
        <v>46192</v>
      </c>
      <c r="C1292" t="s">
        <v>112</v>
      </c>
      <c r="D1292" t="s">
        <v>35</v>
      </c>
      <c r="E1292" t="s">
        <v>106</v>
      </c>
      <c r="F1292" t="s">
        <v>17</v>
      </c>
      <c r="G1292">
        <v>1</v>
      </c>
      <c r="H1292" s="3">
        <v>15.95</v>
      </c>
      <c r="I1292" s="3">
        <v>15.95</v>
      </c>
      <c r="J1292" t="s">
        <v>18</v>
      </c>
      <c r="K1292">
        <v>5</v>
      </c>
      <c r="L1292">
        <v>26</v>
      </c>
      <c r="M1292" t="s">
        <v>19</v>
      </c>
      <c r="N1292">
        <f t="shared" si="40"/>
        <v>15.95</v>
      </c>
      <c r="O1292" t="b">
        <f t="shared" si="41"/>
        <v>1</v>
      </c>
    </row>
    <row r="1293" spans="1:15">
      <c r="A1293" t="s">
        <v>1469</v>
      </c>
      <c r="B1293" s="2">
        <v>46025</v>
      </c>
      <c r="C1293" t="s">
        <v>21</v>
      </c>
      <c r="D1293" t="s">
        <v>15</v>
      </c>
      <c r="E1293" t="s">
        <v>59</v>
      </c>
      <c r="F1293" t="s">
        <v>17</v>
      </c>
      <c r="G1293">
        <v>1</v>
      </c>
      <c r="H1293" s="3">
        <v>11.95</v>
      </c>
      <c r="I1293" s="3">
        <v>11.95</v>
      </c>
      <c r="J1293" t="s">
        <v>27</v>
      </c>
      <c r="K1293">
        <v>4</v>
      </c>
      <c r="L1293">
        <v>16</v>
      </c>
      <c r="M1293" t="s">
        <v>19</v>
      </c>
      <c r="N1293">
        <f t="shared" si="40"/>
        <v>11.95</v>
      </c>
      <c r="O1293" t="b">
        <f t="shared" si="41"/>
        <v>1</v>
      </c>
    </row>
    <row r="1294" spans="1:15">
      <c r="A1294" t="s">
        <v>1470</v>
      </c>
      <c r="B1294" s="2">
        <v>46262</v>
      </c>
      <c r="C1294" t="s">
        <v>493</v>
      </c>
      <c r="D1294" t="s">
        <v>35</v>
      </c>
      <c r="E1294" t="s">
        <v>36</v>
      </c>
      <c r="F1294" t="s">
        <v>23</v>
      </c>
      <c r="G1294">
        <v>3</v>
      </c>
      <c r="H1294" s="3">
        <v>2.8</v>
      </c>
      <c r="I1294" s="3">
        <v>8.4</v>
      </c>
      <c r="J1294" t="s">
        <v>27</v>
      </c>
      <c r="K1294">
        <v>9</v>
      </c>
      <c r="L1294">
        <v>3</v>
      </c>
      <c r="M1294" t="s">
        <v>19</v>
      </c>
      <c r="N1294">
        <f t="shared" si="40"/>
        <v>8.3999999999999986</v>
      </c>
      <c r="O1294" t="b">
        <f t="shared" si="41"/>
        <v>1</v>
      </c>
    </row>
    <row r="1295" spans="1:15">
      <c r="A1295" t="s">
        <v>1471</v>
      </c>
      <c r="B1295" s="2">
        <v>46241</v>
      </c>
      <c r="C1295" t="s">
        <v>118</v>
      </c>
      <c r="D1295" t="s">
        <v>35</v>
      </c>
      <c r="E1295" t="s">
        <v>56</v>
      </c>
      <c r="F1295" t="s">
        <v>23</v>
      </c>
      <c r="G1295">
        <v>2</v>
      </c>
      <c r="H1295" s="3">
        <v>3.75</v>
      </c>
      <c r="I1295" s="3">
        <v>7.5</v>
      </c>
      <c r="J1295" t="s">
        <v>18</v>
      </c>
      <c r="K1295">
        <v>18</v>
      </c>
      <c r="L1295">
        <v>3</v>
      </c>
      <c r="M1295" t="s">
        <v>19</v>
      </c>
      <c r="N1295">
        <f t="shared" si="40"/>
        <v>7.5</v>
      </c>
      <c r="O1295" t="b">
        <f t="shared" si="41"/>
        <v>1</v>
      </c>
    </row>
    <row r="1296" spans="1:15">
      <c r="A1296" t="s">
        <v>1472</v>
      </c>
      <c r="B1296" s="2">
        <v>46126</v>
      </c>
      <c r="C1296" t="s">
        <v>160</v>
      </c>
      <c r="D1296" t="s">
        <v>15</v>
      </c>
      <c r="E1296" t="s">
        <v>70</v>
      </c>
      <c r="F1296" t="s">
        <v>17</v>
      </c>
      <c r="G1296">
        <v>1</v>
      </c>
      <c r="H1296" s="3">
        <v>12.5</v>
      </c>
      <c r="I1296" s="3">
        <v>12.5</v>
      </c>
      <c r="J1296" t="s">
        <v>18</v>
      </c>
      <c r="K1296">
        <v>17</v>
      </c>
      <c r="L1296">
        <v>13</v>
      </c>
      <c r="M1296" t="s">
        <v>19</v>
      </c>
      <c r="N1296">
        <f t="shared" si="40"/>
        <v>12.5</v>
      </c>
      <c r="O1296" t="b">
        <f t="shared" si="41"/>
        <v>1</v>
      </c>
    </row>
    <row r="1297" spans="1:15">
      <c r="A1297" t="s">
        <v>1473</v>
      </c>
      <c r="B1297" s="2">
        <v>46219</v>
      </c>
      <c r="C1297" t="s">
        <v>408</v>
      </c>
      <c r="D1297" t="s">
        <v>15</v>
      </c>
      <c r="E1297" t="s">
        <v>41</v>
      </c>
      <c r="F1297" t="s">
        <v>31</v>
      </c>
      <c r="G1297">
        <v>3</v>
      </c>
      <c r="H1297" s="3">
        <v>5.5</v>
      </c>
      <c r="I1297" s="3">
        <v>0</v>
      </c>
      <c r="J1297" t="s">
        <v>18</v>
      </c>
      <c r="K1297">
        <v>28</v>
      </c>
      <c r="L1297">
        <v>14</v>
      </c>
      <c r="M1297" t="s">
        <v>152</v>
      </c>
      <c r="N1297">
        <f t="shared" si="40"/>
        <v>16.5</v>
      </c>
      <c r="O1297" t="b">
        <f t="shared" si="41"/>
        <v>1</v>
      </c>
    </row>
    <row r="1298" spans="1:15">
      <c r="A1298" t="s">
        <v>1474</v>
      </c>
      <c r="B1298" s="2">
        <v>46265</v>
      </c>
      <c r="C1298" t="s">
        <v>483</v>
      </c>
      <c r="D1298" t="s">
        <v>15</v>
      </c>
      <c r="E1298" t="s">
        <v>70</v>
      </c>
      <c r="F1298" t="s">
        <v>17</v>
      </c>
      <c r="G1298">
        <v>1</v>
      </c>
      <c r="H1298" s="3">
        <v>12.5</v>
      </c>
      <c r="I1298" s="3">
        <v>12.5</v>
      </c>
      <c r="J1298" t="s">
        <v>27</v>
      </c>
      <c r="K1298">
        <v>28</v>
      </c>
      <c r="L1298">
        <v>18</v>
      </c>
      <c r="M1298" t="s">
        <v>19</v>
      </c>
      <c r="N1298">
        <f t="shared" si="40"/>
        <v>12.5</v>
      </c>
      <c r="O1298" t="b">
        <f t="shared" si="41"/>
        <v>1</v>
      </c>
    </row>
    <row r="1299" spans="1:15">
      <c r="A1299" t="s">
        <v>1475</v>
      </c>
      <c r="B1299" s="2">
        <v>46062</v>
      </c>
      <c r="C1299" t="s">
        <v>142</v>
      </c>
      <c r="D1299" t="s">
        <v>35</v>
      </c>
      <c r="E1299" t="s">
        <v>22</v>
      </c>
      <c r="F1299" t="s">
        <v>23</v>
      </c>
      <c r="G1299">
        <v>2</v>
      </c>
      <c r="H1299" s="3">
        <v>3.1</v>
      </c>
      <c r="I1299" s="3">
        <v>6.2</v>
      </c>
      <c r="J1299" t="s">
        <v>18</v>
      </c>
      <c r="K1299">
        <v>22</v>
      </c>
      <c r="L1299">
        <v>15</v>
      </c>
      <c r="M1299" t="s">
        <v>19</v>
      </c>
      <c r="N1299">
        <f t="shared" si="40"/>
        <v>6.2</v>
      </c>
      <c r="O1299" t="b">
        <f t="shared" si="41"/>
        <v>1</v>
      </c>
    </row>
    <row r="1300" spans="1:15">
      <c r="A1300" t="s">
        <v>1476</v>
      </c>
      <c r="B1300" s="2">
        <v>46177</v>
      </c>
      <c r="C1300" t="s">
        <v>73</v>
      </c>
      <c r="D1300" t="s">
        <v>35</v>
      </c>
      <c r="E1300" t="s">
        <v>36</v>
      </c>
      <c r="F1300" t="s">
        <v>23</v>
      </c>
      <c r="G1300">
        <v>1</v>
      </c>
      <c r="H1300" s="3">
        <v>2.8</v>
      </c>
      <c r="I1300" s="3">
        <v>-2.8</v>
      </c>
      <c r="J1300" t="s">
        <v>32</v>
      </c>
      <c r="K1300">
        <v>10</v>
      </c>
      <c r="L1300">
        <v>7</v>
      </c>
      <c r="M1300" t="s">
        <v>62</v>
      </c>
      <c r="N1300">
        <f t="shared" si="40"/>
        <v>2.8</v>
      </c>
      <c r="O1300" t="b">
        <f t="shared" si="41"/>
        <v>1</v>
      </c>
    </row>
    <row r="1301" spans="1:15">
      <c r="A1301" t="s">
        <v>1477</v>
      </c>
      <c r="B1301" s="2">
        <v>46185</v>
      </c>
      <c r="C1301" t="s">
        <v>156</v>
      </c>
      <c r="D1301" t="s">
        <v>35</v>
      </c>
      <c r="E1301" t="s">
        <v>106</v>
      </c>
      <c r="F1301" t="s">
        <v>17</v>
      </c>
      <c r="G1301">
        <v>3</v>
      </c>
      <c r="H1301" s="3">
        <v>15.95</v>
      </c>
      <c r="I1301" s="3">
        <v>47.85</v>
      </c>
      <c r="J1301" t="s">
        <v>27</v>
      </c>
      <c r="K1301">
        <v>23</v>
      </c>
      <c r="L1301">
        <v>24</v>
      </c>
      <c r="M1301" t="s">
        <v>19</v>
      </c>
      <c r="N1301">
        <f t="shared" si="40"/>
        <v>47.849999999999994</v>
      </c>
      <c r="O1301" t="b">
        <f t="shared" si="41"/>
        <v>1</v>
      </c>
    </row>
    <row r="1302" spans="1:15">
      <c r="A1302" t="s">
        <v>1478</v>
      </c>
      <c r="B1302" s="2">
        <v>46246</v>
      </c>
      <c r="C1302" t="s">
        <v>506</v>
      </c>
      <c r="D1302" t="s">
        <v>35</v>
      </c>
      <c r="E1302" t="s">
        <v>41</v>
      </c>
      <c r="F1302" t="s">
        <v>31</v>
      </c>
      <c r="G1302">
        <v>2</v>
      </c>
      <c r="H1302" s="3">
        <v>5.5</v>
      </c>
      <c r="I1302" s="3">
        <v>11</v>
      </c>
      <c r="J1302" t="s">
        <v>27</v>
      </c>
      <c r="K1302">
        <v>6</v>
      </c>
      <c r="L1302">
        <v>27</v>
      </c>
      <c r="M1302" t="s">
        <v>19</v>
      </c>
      <c r="N1302">
        <f t="shared" si="40"/>
        <v>11</v>
      </c>
      <c r="O1302" t="b">
        <f t="shared" si="41"/>
        <v>1</v>
      </c>
    </row>
    <row r="1303" spans="1:15">
      <c r="A1303" t="s">
        <v>1479</v>
      </c>
      <c r="B1303" s="2">
        <v>46210</v>
      </c>
      <c r="C1303" t="s">
        <v>271</v>
      </c>
      <c r="D1303" t="s">
        <v>35</v>
      </c>
      <c r="E1303" t="s">
        <v>78</v>
      </c>
      <c r="F1303" t="s">
        <v>47</v>
      </c>
      <c r="G1303">
        <v>1</v>
      </c>
      <c r="H1303" s="3">
        <v>7.25</v>
      </c>
      <c r="I1303" s="3">
        <v>7.25</v>
      </c>
      <c r="J1303" t="s">
        <v>53</v>
      </c>
      <c r="K1303">
        <v>29</v>
      </c>
      <c r="L1303">
        <v>14</v>
      </c>
      <c r="M1303" t="s">
        <v>19</v>
      </c>
      <c r="N1303">
        <f t="shared" si="40"/>
        <v>7.25</v>
      </c>
      <c r="O1303" t="b">
        <f t="shared" si="41"/>
        <v>1</v>
      </c>
    </row>
    <row r="1304" spans="1:15">
      <c r="A1304" t="s">
        <v>1480</v>
      </c>
      <c r="B1304" s="2">
        <v>46120</v>
      </c>
      <c r="C1304" t="s">
        <v>448</v>
      </c>
      <c r="D1304" t="s">
        <v>35</v>
      </c>
      <c r="E1304" t="s">
        <v>26</v>
      </c>
      <c r="F1304" t="s">
        <v>17</v>
      </c>
      <c r="G1304">
        <v>1</v>
      </c>
      <c r="H1304" s="3">
        <v>11.5</v>
      </c>
      <c r="I1304" s="3">
        <v>11.5</v>
      </c>
      <c r="J1304" t="s">
        <v>27</v>
      </c>
      <c r="K1304">
        <v>10</v>
      </c>
      <c r="L1304">
        <v>19</v>
      </c>
      <c r="M1304" t="s">
        <v>19</v>
      </c>
      <c r="N1304">
        <f t="shared" si="40"/>
        <v>11.5</v>
      </c>
      <c r="O1304" t="b">
        <f t="shared" si="41"/>
        <v>1</v>
      </c>
    </row>
    <row r="1305" spans="1:15">
      <c r="A1305" t="s">
        <v>1481</v>
      </c>
      <c r="B1305" s="2">
        <v>46211</v>
      </c>
      <c r="C1305" t="s">
        <v>191</v>
      </c>
      <c r="D1305" t="s">
        <v>35</v>
      </c>
      <c r="E1305" t="s">
        <v>56</v>
      </c>
      <c r="F1305" t="s">
        <v>23</v>
      </c>
      <c r="G1305">
        <v>1</v>
      </c>
      <c r="H1305" s="3">
        <v>3.75</v>
      </c>
      <c r="I1305" s="3">
        <v>3.75</v>
      </c>
      <c r="J1305" t="s">
        <v>18</v>
      </c>
      <c r="K1305">
        <v>9</v>
      </c>
      <c r="L1305">
        <v>12</v>
      </c>
      <c r="M1305" t="s">
        <v>19</v>
      </c>
      <c r="N1305">
        <f t="shared" si="40"/>
        <v>3.75</v>
      </c>
      <c r="O1305" t="b">
        <f t="shared" si="41"/>
        <v>1</v>
      </c>
    </row>
    <row r="1306" spans="1:15">
      <c r="A1306" t="s">
        <v>1482</v>
      </c>
      <c r="B1306" s="2">
        <v>46226</v>
      </c>
      <c r="C1306" t="s">
        <v>465</v>
      </c>
      <c r="D1306" t="s">
        <v>15</v>
      </c>
      <c r="E1306" t="s">
        <v>83</v>
      </c>
      <c r="F1306" t="s">
        <v>17</v>
      </c>
      <c r="G1306">
        <v>4</v>
      </c>
      <c r="H1306" s="3">
        <v>13.5</v>
      </c>
      <c r="I1306" s="3">
        <v>54</v>
      </c>
      <c r="J1306" t="s">
        <v>18</v>
      </c>
      <c r="K1306">
        <v>20</v>
      </c>
      <c r="L1306">
        <v>24</v>
      </c>
      <c r="M1306" t="s">
        <v>19</v>
      </c>
      <c r="N1306">
        <f t="shared" si="40"/>
        <v>54</v>
      </c>
      <c r="O1306" t="b">
        <f t="shared" si="41"/>
        <v>1</v>
      </c>
    </row>
    <row r="1307" spans="1:15">
      <c r="A1307" t="s">
        <v>1483</v>
      </c>
      <c r="B1307" s="2">
        <v>46274</v>
      </c>
      <c r="C1307" t="s">
        <v>1263</v>
      </c>
      <c r="D1307" t="s">
        <v>15</v>
      </c>
      <c r="E1307" t="s">
        <v>83</v>
      </c>
      <c r="F1307" t="s">
        <v>17</v>
      </c>
      <c r="G1307">
        <v>1</v>
      </c>
      <c r="H1307" s="3">
        <v>13.5</v>
      </c>
      <c r="I1307" s="3">
        <v>13.5</v>
      </c>
      <c r="J1307" t="s">
        <v>18</v>
      </c>
      <c r="K1307">
        <v>29</v>
      </c>
      <c r="L1307">
        <v>5</v>
      </c>
      <c r="M1307" t="s">
        <v>19</v>
      </c>
      <c r="N1307">
        <f t="shared" si="40"/>
        <v>13.5</v>
      </c>
      <c r="O1307" t="b">
        <f t="shared" si="41"/>
        <v>1</v>
      </c>
    </row>
    <row r="1308" spans="1:15">
      <c r="A1308" t="s">
        <v>1484</v>
      </c>
      <c r="B1308" s="2">
        <v>46113</v>
      </c>
      <c r="C1308" t="s">
        <v>169</v>
      </c>
      <c r="D1308" t="s">
        <v>35</v>
      </c>
      <c r="E1308" t="s">
        <v>78</v>
      </c>
      <c r="F1308" t="s">
        <v>47</v>
      </c>
      <c r="G1308">
        <v>2</v>
      </c>
      <c r="H1308" s="3">
        <v>7.25</v>
      </c>
      <c r="I1308" s="3">
        <v>14.5</v>
      </c>
      <c r="J1308" t="s">
        <v>27</v>
      </c>
      <c r="K1308">
        <v>2</v>
      </c>
      <c r="L1308">
        <v>28</v>
      </c>
      <c r="M1308" t="s">
        <v>19</v>
      </c>
      <c r="N1308">
        <f t="shared" si="40"/>
        <v>14.5</v>
      </c>
      <c r="O1308" t="b">
        <f t="shared" si="41"/>
        <v>1</v>
      </c>
    </row>
    <row r="1309" spans="1:15">
      <c r="A1309" t="s">
        <v>1485</v>
      </c>
      <c r="B1309" s="2">
        <v>46165</v>
      </c>
      <c r="C1309" t="s">
        <v>110</v>
      </c>
      <c r="D1309" t="s">
        <v>35</v>
      </c>
      <c r="E1309" t="s">
        <v>56</v>
      </c>
      <c r="F1309" t="s">
        <v>23</v>
      </c>
      <c r="G1309">
        <v>2</v>
      </c>
      <c r="H1309" s="3">
        <v>3.75</v>
      </c>
      <c r="I1309" s="3">
        <v>7.5</v>
      </c>
      <c r="J1309" t="s">
        <v>18</v>
      </c>
      <c r="K1309">
        <v>27</v>
      </c>
      <c r="L1309">
        <v>15</v>
      </c>
      <c r="M1309" t="s">
        <v>19</v>
      </c>
      <c r="N1309">
        <f t="shared" si="40"/>
        <v>7.5</v>
      </c>
      <c r="O1309" t="b">
        <f t="shared" si="41"/>
        <v>1</v>
      </c>
    </row>
    <row r="1310" spans="1:15">
      <c r="A1310" t="s">
        <v>1486</v>
      </c>
      <c r="B1310" s="2">
        <v>46185</v>
      </c>
      <c r="C1310" t="s">
        <v>210</v>
      </c>
      <c r="D1310" t="s">
        <v>35</v>
      </c>
      <c r="E1310" t="s">
        <v>30</v>
      </c>
      <c r="F1310" t="s">
        <v>31</v>
      </c>
      <c r="G1310">
        <v>1</v>
      </c>
      <c r="H1310" s="3">
        <v>8.5</v>
      </c>
      <c r="I1310" s="3">
        <v>8.5</v>
      </c>
      <c r="J1310" t="s">
        <v>27</v>
      </c>
      <c r="K1310">
        <v>22</v>
      </c>
      <c r="L1310">
        <v>10</v>
      </c>
      <c r="M1310" t="s">
        <v>19</v>
      </c>
      <c r="N1310">
        <f t="shared" si="40"/>
        <v>8.5</v>
      </c>
      <c r="O1310" t="b">
        <f t="shared" si="41"/>
        <v>1</v>
      </c>
    </row>
    <row r="1311" spans="1:15">
      <c r="A1311" t="s">
        <v>1487</v>
      </c>
      <c r="B1311" s="2">
        <v>46121</v>
      </c>
      <c r="C1311" t="s">
        <v>89</v>
      </c>
      <c r="D1311" t="s">
        <v>35</v>
      </c>
      <c r="E1311" t="s">
        <v>41</v>
      </c>
      <c r="F1311" t="s">
        <v>31</v>
      </c>
      <c r="G1311">
        <v>1</v>
      </c>
      <c r="H1311" s="3">
        <v>5.5</v>
      </c>
      <c r="I1311" s="3">
        <v>5.5</v>
      </c>
      <c r="J1311" t="s">
        <v>27</v>
      </c>
      <c r="K1311">
        <v>2</v>
      </c>
      <c r="L1311">
        <v>26</v>
      </c>
      <c r="M1311" t="s">
        <v>19</v>
      </c>
      <c r="N1311">
        <f t="shared" si="40"/>
        <v>5.5</v>
      </c>
      <c r="O1311" t="b">
        <f t="shared" si="41"/>
        <v>1</v>
      </c>
    </row>
    <row r="1312" spans="1:15">
      <c r="A1312" t="s">
        <v>1488</v>
      </c>
      <c r="B1312" s="2">
        <v>46124</v>
      </c>
      <c r="C1312" t="s">
        <v>148</v>
      </c>
      <c r="D1312" t="s">
        <v>35</v>
      </c>
      <c r="E1312" t="s">
        <v>26</v>
      </c>
      <c r="F1312" t="s">
        <v>17</v>
      </c>
      <c r="G1312">
        <v>1</v>
      </c>
      <c r="H1312" s="3">
        <v>11.5</v>
      </c>
      <c r="I1312" s="3">
        <v>11.5</v>
      </c>
      <c r="J1312" t="s">
        <v>32</v>
      </c>
      <c r="K1312">
        <v>19</v>
      </c>
      <c r="L1312">
        <v>16</v>
      </c>
      <c r="M1312" t="s">
        <v>19</v>
      </c>
      <c r="N1312">
        <f t="shared" si="40"/>
        <v>11.5</v>
      </c>
      <c r="O1312" t="b">
        <f t="shared" si="41"/>
        <v>1</v>
      </c>
    </row>
    <row r="1313" spans="1:15">
      <c r="A1313" t="s">
        <v>1489</v>
      </c>
      <c r="B1313" s="2">
        <v>46067</v>
      </c>
      <c r="C1313" t="s">
        <v>34</v>
      </c>
      <c r="D1313" t="s">
        <v>35</v>
      </c>
      <c r="E1313" t="s">
        <v>59</v>
      </c>
      <c r="F1313" t="s">
        <v>17</v>
      </c>
      <c r="G1313">
        <v>3</v>
      </c>
      <c r="H1313" s="3">
        <v>11.95</v>
      </c>
      <c r="I1313" s="3">
        <v>35.85</v>
      </c>
      <c r="J1313" t="s">
        <v>27</v>
      </c>
      <c r="K1313">
        <v>24</v>
      </c>
      <c r="L1313">
        <v>24</v>
      </c>
      <c r="M1313" t="s">
        <v>19</v>
      </c>
      <c r="N1313">
        <f t="shared" si="40"/>
        <v>35.849999999999994</v>
      </c>
      <c r="O1313" t="b">
        <f t="shared" si="41"/>
        <v>1</v>
      </c>
    </row>
    <row r="1314" spans="1:15">
      <c r="A1314" t="s">
        <v>1490</v>
      </c>
      <c r="B1314" s="2">
        <v>46185</v>
      </c>
      <c r="C1314" t="s">
        <v>142</v>
      </c>
      <c r="D1314" t="s">
        <v>35</v>
      </c>
      <c r="E1314" t="s">
        <v>26</v>
      </c>
      <c r="F1314" t="s">
        <v>17</v>
      </c>
      <c r="G1314">
        <v>1</v>
      </c>
      <c r="H1314" s="3">
        <v>11.5</v>
      </c>
      <c r="I1314" s="3">
        <v>11.5</v>
      </c>
      <c r="J1314" t="s">
        <v>27</v>
      </c>
      <c r="K1314">
        <v>8</v>
      </c>
      <c r="L1314">
        <v>8</v>
      </c>
      <c r="M1314" t="s">
        <v>19</v>
      </c>
      <c r="N1314">
        <f t="shared" si="40"/>
        <v>11.5</v>
      </c>
      <c r="O1314" t="b">
        <f t="shared" si="41"/>
        <v>1</v>
      </c>
    </row>
    <row r="1315" spans="1:15">
      <c r="A1315" t="s">
        <v>1491</v>
      </c>
      <c r="B1315" s="2">
        <v>46120</v>
      </c>
      <c r="C1315" t="s">
        <v>112</v>
      </c>
      <c r="D1315" t="s">
        <v>35</v>
      </c>
      <c r="E1315" t="s">
        <v>126</v>
      </c>
      <c r="F1315" t="s">
        <v>31</v>
      </c>
      <c r="G1315">
        <v>1</v>
      </c>
      <c r="H1315" s="3">
        <v>7.95</v>
      </c>
      <c r="I1315" s="3">
        <v>7.95</v>
      </c>
      <c r="J1315" t="s">
        <v>27</v>
      </c>
      <c r="K1315">
        <v>10</v>
      </c>
      <c r="L1315">
        <v>23</v>
      </c>
      <c r="M1315" t="s">
        <v>19</v>
      </c>
      <c r="N1315">
        <f t="shared" si="40"/>
        <v>7.95</v>
      </c>
      <c r="O1315" t="b">
        <f t="shared" si="41"/>
        <v>1</v>
      </c>
    </row>
    <row r="1316" spans="1:15">
      <c r="A1316" t="s">
        <v>1492</v>
      </c>
      <c r="B1316" s="2">
        <v>46094</v>
      </c>
      <c r="C1316" t="s">
        <v>205</v>
      </c>
      <c r="D1316" t="s">
        <v>35</v>
      </c>
      <c r="E1316" t="s">
        <v>70</v>
      </c>
      <c r="F1316" t="s">
        <v>17</v>
      </c>
      <c r="G1316">
        <v>1</v>
      </c>
      <c r="H1316" s="3">
        <v>12.5</v>
      </c>
      <c r="I1316" s="3">
        <v>12.5</v>
      </c>
      <c r="J1316" t="s">
        <v>18</v>
      </c>
      <c r="K1316">
        <v>23</v>
      </c>
      <c r="L1316">
        <v>22</v>
      </c>
      <c r="M1316" t="s">
        <v>19</v>
      </c>
      <c r="N1316">
        <f t="shared" si="40"/>
        <v>12.5</v>
      </c>
      <c r="O1316" t="b">
        <f t="shared" si="41"/>
        <v>1</v>
      </c>
    </row>
    <row r="1317" spans="1:15">
      <c r="A1317" t="s">
        <v>1493</v>
      </c>
      <c r="B1317" s="2">
        <v>46070</v>
      </c>
      <c r="C1317" t="s">
        <v>519</v>
      </c>
      <c r="D1317" t="s">
        <v>35</v>
      </c>
      <c r="E1317" t="s">
        <v>30</v>
      </c>
      <c r="F1317" t="s">
        <v>31</v>
      </c>
      <c r="G1317">
        <v>2</v>
      </c>
      <c r="H1317" s="3">
        <v>8.5</v>
      </c>
      <c r="I1317" s="3">
        <v>17</v>
      </c>
      <c r="J1317" t="s">
        <v>32</v>
      </c>
      <c r="K1317">
        <v>15</v>
      </c>
      <c r="L1317">
        <v>24</v>
      </c>
      <c r="M1317" t="s">
        <v>19</v>
      </c>
      <c r="N1317">
        <f t="shared" si="40"/>
        <v>17</v>
      </c>
      <c r="O1317" t="b">
        <f t="shared" si="41"/>
        <v>1</v>
      </c>
    </row>
    <row r="1318" spans="1:15">
      <c r="A1318" t="s">
        <v>1494</v>
      </c>
      <c r="B1318" s="2">
        <v>46110</v>
      </c>
      <c r="C1318" t="s">
        <v>220</v>
      </c>
      <c r="D1318" t="s">
        <v>15</v>
      </c>
      <c r="E1318" t="s">
        <v>50</v>
      </c>
      <c r="F1318" t="s">
        <v>17</v>
      </c>
      <c r="G1318">
        <v>1</v>
      </c>
      <c r="H1318" s="3">
        <v>14.5</v>
      </c>
      <c r="I1318" s="3">
        <v>14.5</v>
      </c>
      <c r="J1318" t="s">
        <v>32</v>
      </c>
      <c r="K1318">
        <v>21</v>
      </c>
      <c r="L1318">
        <v>22</v>
      </c>
      <c r="M1318" t="s">
        <v>19</v>
      </c>
      <c r="N1318">
        <f t="shared" si="40"/>
        <v>14.5</v>
      </c>
      <c r="O1318" t="b">
        <f t="shared" si="41"/>
        <v>1</v>
      </c>
    </row>
    <row r="1319" spans="1:15">
      <c r="A1319" t="s">
        <v>1495</v>
      </c>
      <c r="B1319" s="2">
        <v>46170</v>
      </c>
      <c r="C1319" t="s">
        <v>369</v>
      </c>
      <c r="D1319" t="s">
        <v>15</v>
      </c>
      <c r="E1319" t="s">
        <v>41</v>
      </c>
      <c r="F1319" t="s">
        <v>31</v>
      </c>
      <c r="G1319">
        <v>1</v>
      </c>
      <c r="H1319" s="3">
        <v>5.5</v>
      </c>
      <c r="I1319" s="3">
        <v>-5.5</v>
      </c>
      <c r="J1319" t="s">
        <v>27</v>
      </c>
      <c r="K1319">
        <v>7</v>
      </c>
      <c r="L1319">
        <v>15</v>
      </c>
      <c r="M1319" t="s">
        <v>62</v>
      </c>
      <c r="N1319">
        <f t="shared" si="40"/>
        <v>5.5</v>
      </c>
      <c r="O1319" t="b">
        <f t="shared" si="41"/>
        <v>1</v>
      </c>
    </row>
    <row r="1320" spans="1:15">
      <c r="A1320" t="s">
        <v>1496</v>
      </c>
      <c r="B1320" s="2">
        <v>46262</v>
      </c>
      <c r="C1320" t="s">
        <v>178</v>
      </c>
      <c r="D1320" t="s">
        <v>15</v>
      </c>
      <c r="E1320" t="s">
        <v>106</v>
      </c>
      <c r="F1320" t="s">
        <v>17</v>
      </c>
      <c r="G1320">
        <v>1</v>
      </c>
      <c r="H1320" s="3">
        <v>15.95</v>
      </c>
      <c r="I1320" s="3">
        <v>15.95</v>
      </c>
      <c r="J1320" t="s">
        <v>18</v>
      </c>
      <c r="K1320">
        <v>13</v>
      </c>
      <c r="L1320">
        <v>11</v>
      </c>
      <c r="M1320" t="s">
        <v>19</v>
      </c>
      <c r="N1320">
        <f t="shared" si="40"/>
        <v>15.95</v>
      </c>
      <c r="O1320" t="b">
        <f t="shared" si="41"/>
        <v>1</v>
      </c>
    </row>
    <row r="1321" spans="1:15">
      <c r="A1321" t="s">
        <v>1497</v>
      </c>
      <c r="B1321" s="2">
        <v>46040</v>
      </c>
      <c r="C1321" t="s">
        <v>154</v>
      </c>
      <c r="D1321" t="s">
        <v>15</v>
      </c>
      <c r="E1321" t="s">
        <v>30</v>
      </c>
      <c r="F1321" t="s">
        <v>31</v>
      </c>
      <c r="G1321">
        <v>2</v>
      </c>
      <c r="H1321" s="3">
        <v>8.5</v>
      </c>
      <c r="I1321" s="3">
        <v>17</v>
      </c>
      <c r="J1321" t="s">
        <v>18</v>
      </c>
      <c r="K1321">
        <v>6</v>
      </c>
      <c r="L1321">
        <v>12</v>
      </c>
      <c r="M1321" t="s">
        <v>19</v>
      </c>
      <c r="N1321">
        <f t="shared" si="40"/>
        <v>17</v>
      </c>
      <c r="O1321" t="b">
        <f t="shared" si="41"/>
        <v>1</v>
      </c>
    </row>
    <row r="1322" spans="1:15">
      <c r="A1322" t="s">
        <v>1498</v>
      </c>
      <c r="B1322" s="2">
        <v>46194</v>
      </c>
      <c r="C1322" t="s">
        <v>625</v>
      </c>
      <c r="D1322" t="s">
        <v>15</v>
      </c>
      <c r="E1322" t="s">
        <v>30</v>
      </c>
      <c r="F1322" t="s">
        <v>31</v>
      </c>
      <c r="G1322">
        <v>1</v>
      </c>
      <c r="H1322" s="3">
        <v>8.5</v>
      </c>
      <c r="I1322" s="3">
        <v>8.5</v>
      </c>
      <c r="J1322" t="s">
        <v>32</v>
      </c>
      <c r="K1322">
        <v>15</v>
      </c>
      <c r="L1322">
        <v>6</v>
      </c>
      <c r="M1322" t="s">
        <v>19</v>
      </c>
      <c r="N1322">
        <f t="shared" si="40"/>
        <v>8.5</v>
      </c>
      <c r="O1322" t="b">
        <f t="shared" si="41"/>
        <v>1</v>
      </c>
    </row>
    <row r="1323" spans="1:15">
      <c r="A1323" t="s">
        <v>1499</v>
      </c>
      <c r="B1323" s="2">
        <v>46256</v>
      </c>
      <c r="C1323" t="s">
        <v>55</v>
      </c>
      <c r="D1323" t="s">
        <v>35</v>
      </c>
      <c r="E1323" t="s">
        <v>46</v>
      </c>
      <c r="F1323" t="s">
        <v>47</v>
      </c>
      <c r="G1323">
        <v>1</v>
      </c>
      <c r="H1323" s="3">
        <v>6.95</v>
      </c>
      <c r="I1323" s="3">
        <v>6.95</v>
      </c>
      <c r="J1323" t="s">
        <v>18</v>
      </c>
      <c r="K1323">
        <v>9</v>
      </c>
      <c r="L1323">
        <v>17</v>
      </c>
      <c r="M1323" t="s">
        <v>19</v>
      </c>
      <c r="N1323">
        <f t="shared" si="40"/>
        <v>6.95</v>
      </c>
      <c r="O1323" t="b">
        <f t="shared" si="41"/>
        <v>1</v>
      </c>
    </row>
    <row r="1324" spans="1:15">
      <c r="A1324" t="s">
        <v>1500</v>
      </c>
      <c r="B1324" s="2">
        <v>46195</v>
      </c>
      <c r="C1324" t="s">
        <v>195</v>
      </c>
      <c r="D1324" t="s">
        <v>35</v>
      </c>
      <c r="E1324" t="s">
        <v>83</v>
      </c>
      <c r="F1324" t="s">
        <v>17</v>
      </c>
      <c r="G1324">
        <v>4</v>
      </c>
      <c r="H1324" s="3">
        <v>13.5</v>
      </c>
      <c r="I1324" s="3">
        <v>54</v>
      </c>
      <c r="J1324" t="s">
        <v>27</v>
      </c>
      <c r="K1324">
        <v>17</v>
      </c>
      <c r="L1324">
        <v>21</v>
      </c>
      <c r="M1324" t="s">
        <v>19</v>
      </c>
      <c r="N1324">
        <f t="shared" si="40"/>
        <v>54</v>
      </c>
      <c r="O1324" t="b">
        <f t="shared" si="41"/>
        <v>1</v>
      </c>
    </row>
    <row r="1325" spans="1:15">
      <c r="A1325" t="s">
        <v>1501</v>
      </c>
      <c r="B1325" s="2">
        <v>46241</v>
      </c>
      <c r="C1325" t="s">
        <v>145</v>
      </c>
      <c r="D1325" t="s">
        <v>35</v>
      </c>
      <c r="E1325" t="s">
        <v>121</v>
      </c>
      <c r="F1325" t="s">
        <v>23</v>
      </c>
      <c r="G1325">
        <v>1</v>
      </c>
      <c r="H1325" s="3">
        <v>6.5</v>
      </c>
      <c r="I1325" s="3">
        <v>6.5</v>
      </c>
      <c r="J1325" t="s">
        <v>53</v>
      </c>
      <c r="K1325">
        <v>6</v>
      </c>
      <c r="L1325">
        <v>2</v>
      </c>
      <c r="M1325" t="s">
        <v>19</v>
      </c>
      <c r="N1325">
        <f t="shared" si="40"/>
        <v>6.5</v>
      </c>
      <c r="O1325" t="b">
        <f t="shared" si="41"/>
        <v>1</v>
      </c>
    </row>
    <row r="1326" spans="1:15">
      <c r="A1326" t="s">
        <v>1502</v>
      </c>
      <c r="B1326" s="2">
        <v>46291</v>
      </c>
      <c r="C1326" t="s">
        <v>239</v>
      </c>
      <c r="D1326" t="s">
        <v>15</v>
      </c>
      <c r="E1326" t="s">
        <v>50</v>
      </c>
      <c r="F1326" t="s">
        <v>17</v>
      </c>
      <c r="G1326">
        <v>2</v>
      </c>
      <c r="H1326" s="3">
        <v>14.5</v>
      </c>
      <c r="I1326" s="3">
        <v>29</v>
      </c>
      <c r="J1326" t="s">
        <v>27</v>
      </c>
      <c r="K1326">
        <v>25</v>
      </c>
      <c r="L1326">
        <v>21</v>
      </c>
      <c r="M1326" t="s">
        <v>19</v>
      </c>
      <c r="N1326">
        <f t="shared" si="40"/>
        <v>29</v>
      </c>
      <c r="O1326" t="b">
        <f t="shared" si="41"/>
        <v>1</v>
      </c>
    </row>
    <row r="1327" spans="1:15">
      <c r="A1327" t="s">
        <v>1503</v>
      </c>
      <c r="B1327" s="2">
        <v>46200</v>
      </c>
      <c r="C1327" t="s">
        <v>167</v>
      </c>
      <c r="D1327" t="s">
        <v>35</v>
      </c>
      <c r="E1327" t="s">
        <v>26</v>
      </c>
      <c r="F1327" t="s">
        <v>17</v>
      </c>
      <c r="G1327">
        <v>2</v>
      </c>
      <c r="H1327" s="3">
        <v>11.5</v>
      </c>
      <c r="I1327" s="3">
        <v>23</v>
      </c>
      <c r="J1327" t="s">
        <v>27</v>
      </c>
      <c r="K1327">
        <v>29</v>
      </c>
      <c r="L1327">
        <v>19</v>
      </c>
      <c r="M1327" t="s">
        <v>19</v>
      </c>
      <c r="N1327">
        <f t="shared" si="40"/>
        <v>23</v>
      </c>
      <c r="O1327" t="b">
        <f t="shared" si="41"/>
        <v>1</v>
      </c>
    </row>
    <row r="1328" spans="1:15">
      <c r="A1328" t="s">
        <v>1504</v>
      </c>
      <c r="B1328" s="2">
        <v>46180</v>
      </c>
      <c r="C1328" t="s">
        <v>21</v>
      </c>
      <c r="D1328" t="s">
        <v>15</v>
      </c>
      <c r="E1328" t="s">
        <v>78</v>
      </c>
      <c r="F1328" t="s">
        <v>47</v>
      </c>
      <c r="G1328">
        <v>1</v>
      </c>
      <c r="H1328" s="3">
        <v>7.25</v>
      </c>
      <c r="I1328" s="3">
        <v>7.25</v>
      </c>
      <c r="J1328" t="s">
        <v>18</v>
      </c>
      <c r="K1328">
        <v>25</v>
      </c>
      <c r="L1328">
        <v>20</v>
      </c>
      <c r="M1328" t="s">
        <v>19</v>
      </c>
      <c r="N1328">
        <f t="shared" si="40"/>
        <v>7.25</v>
      </c>
      <c r="O1328" t="b">
        <f t="shared" si="41"/>
        <v>1</v>
      </c>
    </row>
    <row r="1329" spans="1:15">
      <c r="A1329" t="s">
        <v>1505</v>
      </c>
      <c r="B1329" s="2">
        <v>46267</v>
      </c>
      <c r="C1329" t="s">
        <v>222</v>
      </c>
      <c r="D1329" t="s">
        <v>15</v>
      </c>
      <c r="E1329" t="s">
        <v>36</v>
      </c>
      <c r="F1329" t="s">
        <v>23</v>
      </c>
      <c r="G1329">
        <v>2</v>
      </c>
      <c r="H1329" s="3">
        <v>2.8</v>
      </c>
      <c r="I1329" s="3">
        <v>5.6</v>
      </c>
      <c r="J1329" t="s">
        <v>53</v>
      </c>
      <c r="K1329">
        <v>7</v>
      </c>
      <c r="L1329">
        <v>15</v>
      </c>
      <c r="M1329" t="s">
        <v>19</v>
      </c>
      <c r="N1329">
        <f t="shared" si="40"/>
        <v>5.6</v>
      </c>
      <c r="O1329" t="b">
        <f t="shared" si="41"/>
        <v>1</v>
      </c>
    </row>
    <row r="1330" spans="1:15">
      <c r="A1330" t="s">
        <v>1506</v>
      </c>
      <c r="B1330" s="2">
        <v>46215</v>
      </c>
      <c r="C1330" t="s">
        <v>114</v>
      </c>
      <c r="D1330" t="s">
        <v>35</v>
      </c>
      <c r="E1330" t="s">
        <v>59</v>
      </c>
      <c r="F1330" t="s">
        <v>17</v>
      </c>
      <c r="G1330">
        <v>1</v>
      </c>
      <c r="H1330" s="3">
        <v>11.95</v>
      </c>
      <c r="I1330" s="3">
        <v>11.95</v>
      </c>
      <c r="J1330" t="s">
        <v>27</v>
      </c>
      <c r="K1330">
        <v>25</v>
      </c>
      <c r="L1330">
        <v>20</v>
      </c>
      <c r="M1330" t="s">
        <v>19</v>
      </c>
      <c r="N1330">
        <f t="shared" si="40"/>
        <v>11.95</v>
      </c>
      <c r="O1330" t="b">
        <f t="shared" si="41"/>
        <v>1</v>
      </c>
    </row>
    <row r="1331" spans="1:15">
      <c r="A1331" t="s">
        <v>1507</v>
      </c>
      <c r="B1331" s="2">
        <v>46167</v>
      </c>
      <c r="C1331" t="s">
        <v>55</v>
      </c>
      <c r="D1331" t="s">
        <v>35</v>
      </c>
      <c r="E1331" t="s">
        <v>56</v>
      </c>
      <c r="F1331" t="s">
        <v>23</v>
      </c>
      <c r="G1331">
        <v>1</v>
      </c>
      <c r="H1331" s="3">
        <v>3.75</v>
      </c>
      <c r="I1331" s="3">
        <v>3.75</v>
      </c>
      <c r="J1331" t="s">
        <v>18</v>
      </c>
      <c r="K1331">
        <v>12</v>
      </c>
      <c r="L1331">
        <v>9</v>
      </c>
      <c r="M1331" t="s">
        <v>19</v>
      </c>
      <c r="N1331">
        <f t="shared" si="40"/>
        <v>3.75</v>
      </c>
      <c r="O1331" t="b">
        <f t="shared" si="41"/>
        <v>1</v>
      </c>
    </row>
    <row r="1332" spans="1:15">
      <c r="A1332" t="s">
        <v>1508</v>
      </c>
      <c r="B1332" s="2">
        <v>46036</v>
      </c>
      <c r="C1332" t="s">
        <v>239</v>
      </c>
      <c r="D1332" t="s">
        <v>15</v>
      </c>
      <c r="E1332" t="s">
        <v>16</v>
      </c>
      <c r="F1332" t="s">
        <v>17</v>
      </c>
      <c r="G1332">
        <v>1</v>
      </c>
      <c r="H1332" s="3">
        <v>9.9499999999999993</v>
      </c>
      <c r="I1332" s="3">
        <v>9.9499999999999993</v>
      </c>
      <c r="J1332" t="s">
        <v>32</v>
      </c>
      <c r="K1332">
        <v>20</v>
      </c>
      <c r="L1332">
        <v>15</v>
      </c>
      <c r="M1332" t="s">
        <v>19</v>
      </c>
      <c r="N1332">
        <f t="shared" si="40"/>
        <v>9.9499999999999993</v>
      </c>
      <c r="O1332" t="b">
        <f t="shared" si="41"/>
        <v>1</v>
      </c>
    </row>
    <row r="1333" spans="1:15">
      <c r="A1333" t="s">
        <v>1509</v>
      </c>
      <c r="B1333" s="2">
        <v>46062</v>
      </c>
      <c r="C1333" t="s">
        <v>167</v>
      </c>
      <c r="D1333" t="s">
        <v>35</v>
      </c>
      <c r="E1333" t="s">
        <v>70</v>
      </c>
      <c r="F1333" t="s">
        <v>17</v>
      </c>
      <c r="G1333">
        <v>1</v>
      </c>
      <c r="H1333" s="3">
        <v>12.5</v>
      </c>
      <c r="I1333" s="3">
        <v>12.5</v>
      </c>
      <c r="J1333" t="s">
        <v>27</v>
      </c>
      <c r="K1333">
        <v>14</v>
      </c>
      <c r="L1333">
        <v>19</v>
      </c>
      <c r="M1333" t="s">
        <v>19</v>
      </c>
      <c r="N1333">
        <f t="shared" si="40"/>
        <v>12.5</v>
      </c>
      <c r="O1333" t="b">
        <f t="shared" si="41"/>
        <v>1</v>
      </c>
    </row>
    <row r="1334" spans="1:15">
      <c r="A1334" t="s">
        <v>1510</v>
      </c>
      <c r="B1334" s="2">
        <v>46219</v>
      </c>
      <c r="C1334" t="s">
        <v>148</v>
      </c>
      <c r="D1334" t="s">
        <v>35</v>
      </c>
      <c r="E1334" t="s">
        <v>126</v>
      </c>
      <c r="F1334" t="s">
        <v>31</v>
      </c>
      <c r="G1334">
        <v>1</v>
      </c>
      <c r="H1334" s="3">
        <v>7.95</v>
      </c>
      <c r="I1334" s="3">
        <v>7.95</v>
      </c>
      <c r="J1334" t="s">
        <v>27</v>
      </c>
      <c r="K1334">
        <v>14</v>
      </c>
      <c r="L1334">
        <v>20</v>
      </c>
      <c r="M1334" t="s">
        <v>19</v>
      </c>
      <c r="N1334">
        <f t="shared" si="40"/>
        <v>7.95</v>
      </c>
      <c r="O1334" t="b">
        <f t="shared" si="41"/>
        <v>1</v>
      </c>
    </row>
    <row r="1335" spans="1:15">
      <c r="A1335" t="s">
        <v>1511</v>
      </c>
      <c r="B1335" s="2">
        <v>46226</v>
      </c>
      <c r="C1335" t="s">
        <v>381</v>
      </c>
      <c r="D1335" t="s">
        <v>35</v>
      </c>
      <c r="E1335" t="s">
        <v>39</v>
      </c>
      <c r="F1335" t="s">
        <v>17</v>
      </c>
      <c r="G1335">
        <v>1</v>
      </c>
      <c r="H1335" s="3">
        <v>12.95</v>
      </c>
      <c r="I1335" s="3">
        <v>12.95</v>
      </c>
      <c r="J1335" t="s">
        <v>18</v>
      </c>
      <c r="K1335">
        <v>4</v>
      </c>
      <c r="L1335">
        <v>18</v>
      </c>
      <c r="M1335" t="s">
        <v>19</v>
      </c>
      <c r="N1335">
        <f t="shared" si="40"/>
        <v>12.95</v>
      </c>
      <c r="O1335" t="b">
        <f t="shared" si="41"/>
        <v>1</v>
      </c>
    </row>
    <row r="1336" spans="1:15">
      <c r="A1336" t="s">
        <v>1512</v>
      </c>
      <c r="B1336" s="2">
        <v>46230</v>
      </c>
      <c r="C1336" t="s">
        <v>142</v>
      </c>
      <c r="D1336" t="s">
        <v>35</v>
      </c>
      <c r="E1336" t="s">
        <v>93</v>
      </c>
      <c r="F1336" t="s">
        <v>31</v>
      </c>
      <c r="G1336">
        <v>1</v>
      </c>
      <c r="H1336" s="3">
        <v>6.25</v>
      </c>
      <c r="I1336" s="3">
        <v>6.25</v>
      </c>
      <c r="J1336" t="s">
        <v>18</v>
      </c>
      <c r="K1336">
        <v>16</v>
      </c>
      <c r="L1336">
        <v>15</v>
      </c>
      <c r="M1336" t="s">
        <v>19</v>
      </c>
      <c r="N1336">
        <f t="shared" si="40"/>
        <v>6.25</v>
      </c>
      <c r="O1336" t="b">
        <f t="shared" si="41"/>
        <v>1</v>
      </c>
    </row>
    <row r="1337" spans="1:15">
      <c r="A1337" t="s">
        <v>1513</v>
      </c>
      <c r="B1337" s="2">
        <v>46228</v>
      </c>
      <c r="C1337" t="s">
        <v>431</v>
      </c>
      <c r="D1337" t="s">
        <v>35</v>
      </c>
      <c r="E1337" t="s">
        <v>78</v>
      </c>
      <c r="F1337" t="s">
        <v>47</v>
      </c>
      <c r="G1337">
        <v>1</v>
      </c>
      <c r="H1337" s="3">
        <v>7.25</v>
      </c>
      <c r="I1337" s="3">
        <v>7.25</v>
      </c>
      <c r="J1337" t="s">
        <v>18</v>
      </c>
      <c r="K1337">
        <v>4</v>
      </c>
      <c r="L1337">
        <v>24</v>
      </c>
      <c r="M1337" t="s">
        <v>19</v>
      </c>
      <c r="N1337">
        <f t="shared" si="40"/>
        <v>7.25</v>
      </c>
      <c r="O1337" t="b">
        <f t="shared" si="41"/>
        <v>1</v>
      </c>
    </row>
    <row r="1338" spans="1:15">
      <c r="A1338" t="s">
        <v>1514</v>
      </c>
      <c r="B1338" s="2">
        <v>46253</v>
      </c>
      <c r="C1338" t="s">
        <v>506</v>
      </c>
      <c r="D1338" t="s">
        <v>35</v>
      </c>
      <c r="E1338" t="s">
        <v>93</v>
      </c>
      <c r="F1338" t="s">
        <v>31</v>
      </c>
      <c r="G1338">
        <v>2</v>
      </c>
      <c r="H1338" s="3">
        <v>6.25</v>
      </c>
      <c r="I1338" s="3">
        <v>12.5</v>
      </c>
      <c r="J1338" t="s">
        <v>18</v>
      </c>
      <c r="K1338">
        <v>14</v>
      </c>
      <c r="L1338">
        <v>22</v>
      </c>
      <c r="M1338" t="s">
        <v>19</v>
      </c>
      <c r="N1338">
        <f t="shared" si="40"/>
        <v>12.5</v>
      </c>
      <c r="O1338" t="b">
        <f t="shared" si="41"/>
        <v>1</v>
      </c>
    </row>
    <row r="1339" spans="1:15">
      <c r="A1339" t="s">
        <v>1515</v>
      </c>
      <c r="B1339" s="2">
        <v>46219</v>
      </c>
      <c r="C1339" t="s">
        <v>142</v>
      </c>
      <c r="D1339" t="s">
        <v>35</v>
      </c>
      <c r="E1339" t="s">
        <v>26</v>
      </c>
      <c r="F1339" t="s">
        <v>17</v>
      </c>
      <c r="G1339">
        <v>1</v>
      </c>
      <c r="H1339" s="3">
        <v>11.5</v>
      </c>
      <c r="I1339" s="3">
        <v>11.5</v>
      </c>
      <c r="J1339" t="s">
        <v>27</v>
      </c>
      <c r="K1339">
        <v>19</v>
      </c>
      <c r="L1339">
        <v>22</v>
      </c>
      <c r="M1339" t="s">
        <v>19</v>
      </c>
      <c r="N1339">
        <f t="shared" si="40"/>
        <v>11.5</v>
      </c>
      <c r="O1339" t="b">
        <f t="shared" si="41"/>
        <v>1</v>
      </c>
    </row>
    <row r="1340" spans="1:15">
      <c r="A1340" t="s">
        <v>1516</v>
      </c>
      <c r="B1340" s="2">
        <v>46286</v>
      </c>
      <c r="C1340" t="s">
        <v>49</v>
      </c>
      <c r="D1340" t="s">
        <v>35</v>
      </c>
      <c r="E1340" t="s">
        <v>78</v>
      </c>
      <c r="F1340" t="s">
        <v>47</v>
      </c>
      <c r="G1340">
        <v>1</v>
      </c>
      <c r="H1340" s="3">
        <v>7.25</v>
      </c>
      <c r="I1340" s="3">
        <v>7.25</v>
      </c>
      <c r="J1340" t="s">
        <v>18</v>
      </c>
      <c r="K1340">
        <v>15</v>
      </c>
      <c r="L1340">
        <v>31</v>
      </c>
      <c r="M1340" t="s">
        <v>19</v>
      </c>
      <c r="N1340">
        <f t="shared" si="40"/>
        <v>7.25</v>
      </c>
      <c r="O1340" t="b">
        <f t="shared" si="41"/>
        <v>1</v>
      </c>
    </row>
    <row r="1341" spans="1:15">
      <c r="A1341" t="s">
        <v>1517</v>
      </c>
      <c r="B1341" s="2">
        <v>46212</v>
      </c>
      <c r="C1341" t="s">
        <v>326</v>
      </c>
      <c r="D1341" t="s">
        <v>15</v>
      </c>
      <c r="E1341" t="s">
        <v>126</v>
      </c>
      <c r="F1341" t="s">
        <v>31</v>
      </c>
      <c r="G1341">
        <v>2</v>
      </c>
      <c r="H1341" s="3">
        <v>7.95</v>
      </c>
      <c r="I1341" s="3">
        <v>15.9</v>
      </c>
      <c r="J1341" t="s">
        <v>27</v>
      </c>
      <c r="K1341">
        <v>18</v>
      </c>
      <c r="L1341">
        <v>18</v>
      </c>
      <c r="M1341" t="s">
        <v>19</v>
      </c>
      <c r="N1341">
        <f t="shared" si="40"/>
        <v>15.9</v>
      </c>
      <c r="O1341" t="b">
        <f t="shared" si="41"/>
        <v>1</v>
      </c>
    </row>
    <row r="1342" spans="1:15">
      <c r="A1342" t="s">
        <v>1518</v>
      </c>
      <c r="B1342" s="2">
        <v>46173</v>
      </c>
      <c r="C1342" t="s">
        <v>222</v>
      </c>
      <c r="D1342" t="s">
        <v>15</v>
      </c>
      <c r="E1342" t="s">
        <v>93</v>
      </c>
      <c r="F1342" t="s">
        <v>31</v>
      </c>
      <c r="G1342">
        <v>1</v>
      </c>
      <c r="H1342" s="3">
        <v>6.25</v>
      </c>
      <c r="I1342" s="3">
        <v>6.25</v>
      </c>
      <c r="J1342" t="s">
        <v>18</v>
      </c>
      <c r="K1342">
        <v>2</v>
      </c>
      <c r="L1342">
        <v>11</v>
      </c>
      <c r="M1342" t="s">
        <v>19</v>
      </c>
      <c r="N1342">
        <f t="shared" si="40"/>
        <v>6.25</v>
      </c>
      <c r="O1342" t="b">
        <f t="shared" si="41"/>
        <v>1</v>
      </c>
    </row>
    <row r="1343" spans="1:15">
      <c r="A1343" t="s">
        <v>1519</v>
      </c>
      <c r="B1343" s="2">
        <v>46225</v>
      </c>
      <c r="C1343" t="s">
        <v>178</v>
      </c>
      <c r="D1343" t="s">
        <v>15</v>
      </c>
      <c r="E1343" t="s">
        <v>59</v>
      </c>
      <c r="F1343" t="s">
        <v>17</v>
      </c>
      <c r="G1343">
        <v>1</v>
      </c>
      <c r="H1343" s="3">
        <v>11.95</v>
      </c>
      <c r="I1343" s="3">
        <v>11.95</v>
      </c>
      <c r="J1343" t="s">
        <v>18</v>
      </c>
      <c r="K1343">
        <v>21</v>
      </c>
      <c r="L1343">
        <v>12</v>
      </c>
      <c r="M1343" t="s">
        <v>19</v>
      </c>
      <c r="N1343">
        <f t="shared" si="40"/>
        <v>11.95</v>
      </c>
      <c r="O1343" t="b">
        <f t="shared" si="41"/>
        <v>1</v>
      </c>
    </row>
    <row r="1344" spans="1:15">
      <c r="A1344" t="s">
        <v>1520</v>
      </c>
      <c r="B1344" s="2">
        <v>46163</v>
      </c>
      <c r="C1344" t="s">
        <v>489</v>
      </c>
      <c r="D1344" t="s">
        <v>15</v>
      </c>
      <c r="E1344" t="s">
        <v>56</v>
      </c>
      <c r="F1344" t="s">
        <v>23</v>
      </c>
      <c r="G1344">
        <v>1</v>
      </c>
      <c r="H1344" s="3">
        <v>3.75</v>
      </c>
      <c r="I1344" s="3">
        <v>3.75</v>
      </c>
      <c r="J1344" t="s">
        <v>27</v>
      </c>
      <c r="K1344">
        <v>2</v>
      </c>
      <c r="L1344">
        <v>12</v>
      </c>
      <c r="M1344" t="s">
        <v>19</v>
      </c>
      <c r="N1344">
        <f t="shared" si="40"/>
        <v>3.75</v>
      </c>
      <c r="O1344" t="b">
        <f t="shared" si="41"/>
        <v>1</v>
      </c>
    </row>
    <row r="1345" spans="1:15">
      <c r="A1345" t="s">
        <v>1521</v>
      </c>
      <c r="B1345" s="2">
        <v>46213</v>
      </c>
      <c r="C1345" t="s">
        <v>320</v>
      </c>
      <c r="D1345" t="s">
        <v>15</v>
      </c>
      <c r="E1345" t="s">
        <v>59</v>
      </c>
      <c r="F1345" t="s">
        <v>17</v>
      </c>
      <c r="G1345">
        <v>1</v>
      </c>
      <c r="H1345" s="3">
        <v>11.95</v>
      </c>
      <c r="I1345" s="3">
        <v>11.95</v>
      </c>
      <c r="J1345" t="s">
        <v>27</v>
      </c>
      <c r="K1345">
        <v>3</v>
      </c>
      <c r="L1345">
        <v>8</v>
      </c>
      <c r="M1345" t="s">
        <v>19</v>
      </c>
      <c r="N1345">
        <f t="shared" si="40"/>
        <v>11.95</v>
      </c>
      <c r="O1345" t="b">
        <f t="shared" si="41"/>
        <v>1</v>
      </c>
    </row>
    <row r="1346" spans="1:15">
      <c r="A1346" t="s">
        <v>1522</v>
      </c>
      <c r="B1346" s="2">
        <v>46177</v>
      </c>
      <c r="C1346" t="s">
        <v>142</v>
      </c>
      <c r="D1346" t="s">
        <v>35</v>
      </c>
      <c r="E1346" t="s">
        <v>41</v>
      </c>
      <c r="F1346" t="s">
        <v>31</v>
      </c>
      <c r="G1346">
        <v>2</v>
      </c>
      <c r="H1346" s="3">
        <v>5.5</v>
      </c>
      <c r="I1346" s="3">
        <v>0</v>
      </c>
      <c r="J1346" t="s">
        <v>53</v>
      </c>
      <c r="K1346">
        <v>14</v>
      </c>
      <c r="L1346">
        <v>28</v>
      </c>
      <c r="M1346" t="s">
        <v>152</v>
      </c>
      <c r="N1346">
        <f t="shared" ref="N1346:N1409" si="42">G1346*H1346</f>
        <v>11</v>
      </c>
      <c r="O1346" t="b">
        <f t="shared" ref="O1346:O1409" si="43">OR(AND(M1346="Completed",I1346=N1346),AND(M1346="Refunded",ABS(I1346)=N1346),AND(M1346="Cancelled",I1346=0))</f>
        <v>1</v>
      </c>
    </row>
    <row r="1347" spans="1:15">
      <c r="A1347" t="s">
        <v>1523</v>
      </c>
      <c r="B1347" s="2">
        <v>46121</v>
      </c>
      <c r="C1347" t="s">
        <v>273</v>
      </c>
      <c r="D1347" t="s">
        <v>35</v>
      </c>
      <c r="E1347" t="s">
        <v>22</v>
      </c>
      <c r="F1347" t="s">
        <v>23</v>
      </c>
      <c r="G1347">
        <v>1</v>
      </c>
      <c r="H1347" s="3">
        <v>3.1</v>
      </c>
      <c r="I1347" s="3">
        <v>3.1</v>
      </c>
      <c r="J1347" t="s">
        <v>32</v>
      </c>
      <c r="K1347">
        <v>23</v>
      </c>
      <c r="L1347">
        <v>5</v>
      </c>
      <c r="M1347" t="s">
        <v>19</v>
      </c>
      <c r="N1347">
        <f t="shared" si="42"/>
        <v>3.1</v>
      </c>
      <c r="O1347" t="b">
        <f t="shared" si="43"/>
        <v>1</v>
      </c>
    </row>
    <row r="1348" spans="1:15">
      <c r="A1348" t="s">
        <v>1524</v>
      </c>
      <c r="B1348" s="2">
        <v>46214</v>
      </c>
      <c r="C1348" t="s">
        <v>91</v>
      </c>
      <c r="D1348" t="s">
        <v>35</v>
      </c>
      <c r="E1348" t="s">
        <v>41</v>
      </c>
      <c r="F1348" t="s">
        <v>31</v>
      </c>
      <c r="G1348">
        <v>2</v>
      </c>
      <c r="H1348" s="3">
        <v>5.5</v>
      </c>
      <c r="I1348" s="3">
        <v>-11</v>
      </c>
      <c r="J1348" t="s">
        <v>18</v>
      </c>
      <c r="K1348">
        <v>2</v>
      </c>
      <c r="L1348">
        <v>22</v>
      </c>
      <c r="M1348" t="s">
        <v>62</v>
      </c>
      <c r="N1348">
        <f t="shared" si="42"/>
        <v>11</v>
      </c>
      <c r="O1348" t="b">
        <f t="shared" si="43"/>
        <v>1</v>
      </c>
    </row>
    <row r="1349" spans="1:15">
      <c r="A1349" t="s">
        <v>1525</v>
      </c>
      <c r="B1349" s="2">
        <v>46115</v>
      </c>
      <c r="C1349" t="s">
        <v>263</v>
      </c>
      <c r="D1349" t="s">
        <v>35</v>
      </c>
      <c r="E1349" t="s">
        <v>78</v>
      </c>
      <c r="F1349" t="s">
        <v>47</v>
      </c>
      <c r="G1349">
        <v>1</v>
      </c>
      <c r="H1349" s="3">
        <v>7.25</v>
      </c>
      <c r="I1349" s="3">
        <v>7.25</v>
      </c>
      <c r="J1349" t="s">
        <v>27</v>
      </c>
      <c r="K1349">
        <v>22</v>
      </c>
      <c r="L1349">
        <v>26</v>
      </c>
      <c r="M1349" t="s">
        <v>19</v>
      </c>
      <c r="N1349">
        <f t="shared" si="42"/>
        <v>7.25</v>
      </c>
      <c r="O1349" t="b">
        <f t="shared" si="43"/>
        <v>1</v>
      </c>
    </row>
    <row r="1350" spans="1:15">
      <c r="A1350" t="s">
        <v>1526</v>
      </c>
      <c r="B1350" s="2">
        <v>46159</v>
      </c>
      <c r="C1350" t="s">
        <v>271</v>
      </c>
      <c r="D1350" t="s">
        <v>35</v>
      </c>
      <c r="E1350" t="s">
        <v>59</v>
      </c>
      <c r="F1350" t="s">
        <v>17</v>
      </c>
      <c r="G1350">
        <v>1</v>
      </c>
      <c r="H1350" s="3">
        <v>11.95</v>
      </c>
      <c r="I1350" s="3">
        <v>11.95</v>
      </c>
      <c r="J1350" t="s">
        <v>27</v>
      </c>
      <c r="K1350">
        <v>20</v>
      </c>
      <c r="L1350">
        <v>18</v>
      </c>
      <c r="M1350" t="s">
        <v>19</v>
      </c>
      <c r="N1350">
        <f t="shared" si="42"/>
        <v>11.95</v>
      </c>
      <c r="O1350" t="b">
        <f t="shared" si="43"/>
        <v>1</v>
      </c>
    </row>
    <row r="1351" spans="1:15">
      <c r="A1351" t="s">
        <v>1527</v>
      </c>
      <c r="B1351" s="2">
        <v>46258</v>
      </c>
      <c r="C1351" t="s">
        <v>134</v>
      </c>
      <c r="D1351" t="s">
        <v>35</v>
      </c>
      <c r="E1351" t="s">
        <v>93</v>
      </c>
      <c r="F1351" t="s">
        <v>31</v>
      </c>
      <c r="G1351">
        <v>1</v>
      </c>
      <c r="H1351" s="3">
        <v>6.25</v>
      </c>
      <c r="I1351" s="3">
        <v>6.25</v>
      </c>
      <c r="J1351" t="s">
        <v>18</v>
      </c>
      <c r="K1351">
        <v>30</v>
      </c>
      <c r="L1351">
        <v>15</v>
      </c>
      <c r="M1351" t="s">
        <v>19</v>
      </c>
      <c r="N1351">
        <f t="shared" si="42"/>
        <v>6.25</v>
      </c>
      <c r="O1351" t="b">
        <f t="shared" si="43"/>
        <v>1</v>
      </c>
    </row>
    <row r="1352" spans="1:15">
      <c r="A1352" t="s">
        <v>1528</v>
      </c>
      <c r="B1352" s="2">
        <v>46198</v>
      </c>
      <c r="C1352" t="s">
        <v>425</v>
      </c>
      <c r="D1352" t="s">
        <v>15</v>
      </c>
      <c r="E1352" t="s">
        <v>50</v>
      </c>
      <c r="F1352" t="s">
        <v>17</v>
      </c>
      <c r="G1352">
        <v>1</v>
      </c>
      <c r="H1352" s="3">
        <v>14.5</v>
      </c>
      <c r="I1352" s="3">
        <v>0</v>
      </c>
      <c r="J1352" t="s">
        <v>18</v>
      </c>
      <c r="K1352">
        <v>6</v>
      </c>
      <c r="L1352">
        <v>8</v>
      </c>
      <c r="M1352" t="s">
        <v>152</v>
      </c>
      <c r="N1352">
        <f t="shared" si="42"/>
        <v>14.5</v>
      </c>
      <c r="O1352" t="b">
        <f t="shared" si="43"/>
        <v>1</v>
      </c>
    </row>
    <row r="1353" spans="1:15">
      <c r="A1353" t="s">
        <v>1529</v>
      </c>
      <c r="B1353" s="2">
        <v>46153</v>
      </c>
      <c r="C1353" t="s">
        <v>134</v>
      </c>
      <c r="D1353" t="s">
        <v>35</v>
      </c>
      <c r="E1353" t="s">
        <v>39</v>
      </c>
      <c r="F1353" t="s">
        <v>17</v>
      </c>
      <c r="G1353">
        <v>2</v>
      </c>
      <c r="H1353" s="3">
        <v>12.95</v>
      </c>
      <c r="I1353" s="3">
        <v>25.9</v>
      </c>
      <c r="J1353" t="s">
        <v>27</v>
      </c>
      <c r="K1353">
        <v>12</v>
      </c>
      <c r="L1353">
        <v>20</v>
      </c>
      <c r="M1353" t="s">
        <v>19</v>
      </c>
      <c r="N1353">
        <f t="shared" si="42"/>
        <v>25.9</v>
      </c>
      <c r="O1353" t="b">
        <f t="shared" si="43"/>
        <v>1</v>
      </c>
    </row>
    <row r="1354" spans="1:15">
      <c r="A1354" t="s">
        <v>1530</v>
      </c>
      <c r="B1354" s="2">
        <v>46294</v>
      </c>
      <c r="C1354" t="s">
        <v>471</v>
      </c>
      <c r="D1354" t="s">
        <v>15</v>
      </c>
      <c r="E1354" t="s">
        <v>96</v>
      </c>
      <c r="F1354" t="s">
        <v>47</v>
      </c>
      <c r="G1354">
        <v>2</v>
      </c>
      <c r="H1354" s="3">
        <v>5.75</v>
      </c>
      <c r="I1354" s="3">
        <v>11.5</v>
      </c>
      <c r="J1354" t="s">
        <v>18</v>
      </c>
      <c r="K1354">
        <v>20</v>
      </c>
      <c r="L1354">
        <v>20</v>
      </c>
      <c r="M1354" t="s">
        <v>19</v>
      </c>
      <c r="N1354">
        <f t="shared" si="42"/>
        <v>11.5</v>
      </c>
      <c r="O1354" t="b">
        <f t="shared" si="43"/>
        <v>1</v>
      </c>
    </row>
    <row r="1355" spans="1:15">
      <c r="A1355" t="s">
        <v>1531</v>
      </c>
      <c r="B1355" s="2">
        <v>46243</v>
      </c>
      <c r="C1355" t="s">
        <v>431</v>
      </c>
      <c r="D1355" t="s">
        <v>35</v>
      </c>
      <c r="E1355" t="s">
        <v>36</v>
      </c>
      <c r="F1355" t="s">
        <v>23</v>
      </c>
      <c r="G1355">
        <v>2</v>
      </c>
      <c r="H1355" s="3">
        <v>2.8</v>
      </c>
      <c r="I1355" s="3">
        <v>5.6</v>
      </c>
      <c r="J1355" t="s">
        <v>53</v>
      </c>
      <c r="K1355">
        <v>13</v>
      </c>
      <c r="L1355">
        <v>19</v>
      </c>
      <c r="M1355" t="s">
        <v>19</v>
      </c>
      <c r="N1355">
        <f t="shared" si="42"/>
        <v>5.6</v>
      </c>
      <c r="O1355" t="b">
        <f t="shared" si="43"/>
        <v>1</v>
      </c>
    </row>
    <row r="1356" spans="1:15">
      <c r="A1356" t="s">
        <v>1532</v>
      </c>
      <c r="B1356" s="2">
        <v>46090</v>
      </c>
      <c r="C1356" t="s">
        <v>322</v>
      </c>
      <c r="D1356" t="s">
        <v>15</v>
      </c>
      <c r="E1356" t="s">
        <v>46</v>
      </c>
      <c r="F1356" t="s">
        <v>47</v>
      </c>
      <c r="G1356">
        <v>1</v>
      </c>
      <c r="H1356" s="3">
        <v>6.95</v>
      </c>
      <c r="I1356" s="3">
        <v>6.95</v>
      </c>
      <c r="J1356" t="s">
        <v>32</v>
      </c>
      <c r="K1356">
        <v>6</v>
      </c>
      <c r="L1356">
        <v>12</v>
      </c>
      <c r="M1356" t="s">
        <v>19</v>
      </c>
      <c r="N1356">
        <f t="shared" si="42"/>
        <v>6.95</v>
      </c>
      <c r="O1356" t="b">
        <f t="shared" si="43"/>
        <v>1</v>
      </c>
    </row>
    <row r="1357" spans="1:15">
      <c r="A1357" t="s">
        <v>1533</v>
      </c>
      <c r="B1357" s="2">
        <v>46228</v>
      </c>
      <c r="C1357" t="s">
        <v>228</v>
      </c>
      <c r="D1357" t="s">
        <v>35</v>
      </c>
      <c r="E1357" t="s">
        <v>78</v>
      </c>
      <c r="F1357" t="s">
        <v>47</v>
      </c>
      <c r="G1357">
        <v>3</v>
      </c>
      <c r="H1357" s="3">
        <v>7.25</v>
      </c>
      <c r="I1357" s="3">
        <v>21.75</v>
      </c>
      <c r="J1357" t="s">
        <v>32</v>
      </c>
      <c r="K1357">
        <v>11</v>
      </c>
      <c r="L1357">
        <v>18</v>
      </c>
      <c r="M1357" t="s">
        <v>19</v>
      </c>
      <c r="N1357">
        <f t="shared" si="42"/>
        <v>21.75</v>
      </c>
      <c r="O1357" t="b">
        <f t="shared" si="43"/>
        <v>1</v>
      </c>
    </row>
    <row r="1358" spans="1:15">
      <c r="A1358" t="s">
        <v>1534</v>
      </c>
      <c r="B1358" s="2">
        <v>46077</v>
      </c>
      <c r="C1358" t="s">
        <v>230</v>
      </c>
      <c r="D1358" t="s">
        <v>35</v>
      </c>
      <c r="E1358" t="s">
        <v>93</v>
      </c>
      <c r="F1358" t="s">
        <v>31</v>
      </c>
      <c r="G1358">
        <v>1</v>
      </c>
      <c r="H1358" s="3">
        <v>6.25</v>
      </c>
      <c r="I1358" s="3">
        <v>6.25</v>
      </c>
      <c r="J1358" t="s">
        <v>32</v>
      </c>
      <c r="K1358">
        <v>16</v>
      </c>
      <c r="L1358">
        <v>10</v>
      </c>
      <c r="M1358" t="s">
        <v>19</v>
      </c>
      <c r="N1358">
        <f t="shared" si="42"/>
        <v>6.25</v>
      </c>
      <c r="O1358" t="b">
        <f t="shared" si="43"/>
        <v>1</v>
      </c>
    </row>
    <row r="1359" spans="1:15">
      <c r="A1359" t="s">
        <v>1535</v>
      </c>
      <c r="B1359" s="2">
        <v>46169</v>
      </c>
      <c r="C1359" t="s">
        <v>148</v>
      </c>
      <c r="D1359" t="s">
        <v>35</v>
      </c>
      <c r="E1359" t="s">
        <v>106</v>
      </c>
      <c r="F1359" t="s">
        <v>17</v>
      </c>
      <c r="G1359">
        <v>1</v>
      </c>
      <c r="H1359" s="3">
        <v>15.95</v>
      </c>
      <c r="I1359" s="3">
        <v>15.95</v>
      </c>
      <c r="J1359" t="s">
        <v>32</v>
      </c>
      <c r="K1359">
        <v>18</v>
      </c>
      <c r="L1359">
        <v>27</v>
      </c>
      <c r="M1359" t="s">
        <v>19</v>
      </c>
      <c r="N1359">
        <f t="shared" si="42"/>
        <v>15.95</v>
      </c>
      <c r="O1359" t="b">
        <f t="shared" si="43"/>
        <v>1</v>
      </c>
    </row>
    <row r="1360" spans="1:15">
      <c r="A1360" t="s">
        <v>1536</v>
      </c>
      <c r="B1360" s="2">
        <v>46260</v>
      </c>
      <c r="C1360" t="s">
        <v>279</v>
      </c>
      <c r="D1360" t="s">
        <v>35</v>
      </c>
      <c r="E1360" t="s">
        <v>46</v>
      </c>
      <c r="F1360" t="s">
        <v>47</v>
      </c>
      <c r="G1360">
        <v>2</v>
      </c>
      <c r="H1360" s="3">
        <v>6.95</v>
      </c>
      <c r="I1360" s="3">
        <v>13.9</v>
      </c>
      <c r="J1360" t="s">
        <v>27</v>
      </c>
      <c r="K1360">
        <v>21</v>
      </c>
      <c r="L1360">
        <v>26</v>
      </c>
      <c r="M1360" t="s">
        <v>19</v>
      </c>
      <c r="N1360">
        <f t="shared" si="42"/>
        <v>13.9</v>
      </c>
      <c r="O1360" t="b">
        <f t="shared" si="43"/>
        <v>1</v>
      </c>
    </row>
    <row r="1361" spans="1:15">
      <c r="A1361" t="s">
        <v>1537</v>
      </c>
      <c r="B1361" s="2">
        <v>46137</v>
      </c>
      <c r="C1361" t="s">
        <v>369</v>
      </c>
      <c r="D1361" t="s">
        <v>15</v>
      </c>
      <c r="E1361" t="s">
        <v>39</v>
      </c>
      <c r="F1361" t="s">
        <v>17</v>
      </c>
      <c r="G1361">
        <v>2</v>
      </c>
      <c r="H1361" s="3">
        <v>12.95</v>
      </c>
      <c r="I1361" s="3">
        <v>25.9</v>
      </c>
      <c r="J1361" t="s">
        <v>53</v>
      </c>
      <c r="K1361">
        <v>14</v>
      </c>
      <c r="L1361">
        <v>15</v>
      </c>
      <c r="M1361" t="s">
        <v>19</v>
      </c>
      <c r="N1361">
        <f t="shared" si="42"/>
        <v>25.9</v>
      </c>
      <c r="O1361" t="b">
        <f t="shared" si="43"/>
        <v>1</v>
      </c>
    </row>
    <row r="1362" spans="1:15">
      <c r="A1362" t="s">
        <v>1538</v>
      </c>
      <c r="B1362" s="2">
        <v>46189</v>
      </c>
      <c r="C1362" t="s">
        <v>210</v>
      </c>
      <c r="D1362" t="s">
        <v>35</v>
      </c>
      <c r="E1362" t="s">
        <v>103</v>
      </c>
      <c r="F1362" t="s">
        <v>23</v>
      </c>
      <c r="G1362">
        <v>2</v>
      </c>
      <c r="H1362" s="3">
        <v>3.25</v>
      </c>
      <c r="I1362" s="3">
        <v>6.5</v>
      </c>
      <c r="J1362" t="s">
        <v>18</v>
      </c>
      <c r="K1362">
        <v>26</v>
      </c>
      <c r="L1362">
        <v>21</v>
      </c>
      <c r="M1362" t="s">
        <v>19</v>
      </c>
      <c r="N1362">
        <f t="shared" si="42"/>
        <v>6.5</v>
      </c>
      <c r="O1362" t="b">
        <f t="shared" si="43"/>
        <v>1</v>
      </c>
    </row>
    <row r="1363" spans="1:15">
      <c r="A1363" t="s">
        <v>1539</v>
      </c>
      <c r="B1363" s="2">
        <v>46284</v>
      </c>
      <c r="C1363" t="s">
        <v>167</v>
      </c>
      <c r="D1363" t="s">
        <v>35</v>
      </c>
      <c r="E1363" t="s">
        <v>30</v>
      </c>
      <c r="F1363" t="s">
        <v>31</v>
      </c>
      <c r="G1363">
        <v>2</v>
      </c>
      <c r="H1363" s="3">
        <v>8.5</v>
      </c>
      <c r="I1363" s="3">
        <v>17</v>
      </c>
      <c r="J1363" t="s">
        <v>18</v>
      </c>
      <c r="K1363">
        <v>6</v>
      </c>
      <c r="L1363">
        <v>21</v>
      </c>
      <c r="M1363" t="s">
        <v>19</v>
      </c>
      <c r="N1363">
        <f t="shared" si="42"/>
        <v>17</v>
      </c>
      <c r="O1363" t="b">
        <f t="shared" si="43"/>
        <v>1</v>
      </c>
    </row>
    <row r="1364" spans="1:15">
      <c r="A1364" t="s">
        <v>1540</v>
      </c>
      <c r="B1364" s="2">
        <v>46125</v>
      </c>
      <c r="C1364" t="s">
        <v>80</v>
      </c>
      <c r="D1364" t="s">
        <v>15</v>
      </c>
      <c r="E1364" t="s">
        <v>26</v>
      </c>
      <c r="F1364" t="s">
        <v>17</v>
      </c>
      <c r="G1364">
        <v>1</v>
      </c>
      <c r="H1364" s="3">
        <v>11.5</v>
      </c>
      <c r="I1364" s="3">
        <v>11.5</v>
      </c>
      <c r="J1364" t="s">
        <v>53</v>
      </c>
      <c r="K1364">
        <v>15</v>
      </c>
      <c r="L1364">
        <v>7</v>
      </c>
      <c r="M1364" t="s">
        <v>19</v>
      </c>
      <c r="N1364">
        <f t="shared" si="42"/>
        <v>11.5</v>
      </c>
      <c r="O1364" t="b">
        <f t="shared" si="43"/>
        <v>1</v>
      </c>
    </row>
    <row r="1365" spans="1:15">
      <c r="A1365" t="s">
        <v>1541</v>
      </c>
      <c r="B1365" s="2">
        <v>46113</v>
      </c>
      <c r="C1365" t="s">
        <v>130</v>
      </c>
      <c r="D1365" t="s">
        <v>35</v>
      </c>
      <c r="E1365" t="s">
        <v>59</v>
      </c>
      <c r="F1365" t="s">
        <v>17</v>
      </c>
      <c r="G1365">
        <v>2</v>
      </c>
      <c r="H1365" s="3">
        <v>11.95</v>
      </c>
      <c r="I1365" s="3">
        <v>23.9</v>
      </c>
      <c r="J1365" t="s">
        <v>53</v>
      </c>
      <c r="K1365">
        <v>28</v>
      </c>
      <c r="L1365">
        <v>22</v>
      </c>
      <c r="M1365" t="s">
        <v>19</v>
      </c>
      <c r="N1365">
        <f t="shared" si="42"/>
        <v>23.9</v>
      </c>
      <c r="O1365" t="b">
        <f t="shared" si="43"/>
        <v>1</v>
      </c>
    </row>
    <row r="1366" spans="1:15">
      <c r="A1366" t="s">
        <v>1542</v>
      </c>
      <c r="B1366" s="2">
        <v>46104</v>
      </c>
      <c r="C1366" t="s">
        <v>251</v>
      </c>
      <c r="D1366" t="s">
        <v>15</v>
      </c>
      <c r="E1366" t="s">
        <v>83</v>
      </c>
      <c r="F1366" t="s">
        <v>17</v>
      </c>
      <c r="G1366">
        <v>2</v>
      </c>
      <c r="H1366" s="3">
        <v>13.5</v>
      </c>
      <c r="I1366" s="3">
        <v>27</v>
      </c>
      <c r="J1366" t="s">
        <v>18</v>
      </c>
      <c r="K1366">
        <v>28</v>
      </c>
      <c r="L1366">
        <v>29</v>
      </c>
      <c r="M1366" t="s">
        <v>19</v>
      </c>
      <c r="N1366">
        <f t="shared" si="42"/>
        <v>27</v>
      </c>
      <c r="O1366" t="b">
        <f t="shared" si="43"/>
        <v>1</v>
      </c>
    </row>
    <row r="1367" spans="1:15">
      <c r="A1367" t="s">
        <v>1543</v>
      </c>
      <c r="B1367" s="2">
        <v>46236</v>
      </c>
      <c r="C1367" t="s">
        <v>99</v>
      </c>
      <c r="D1367" t="s">
        <v>35</v>
      </c>
      <c r="E1367" t="s">
        <v>59</v>
      </c>
      <c r="F1367" t="s">
        <v>17</v>
      </c>
      <c r="G1367">
        <v>2</v>
      </c>
      <c r="H1367" s="3">
        <v>11.95</v>
      </c>
      <c r="I1367" s="3">
        <v>23.9</v>
      </c>
      <c r="J1367" t="s">
        <v>53</v>
      </c>
      <c r="K1367">
        <v>21</v>
      </c>
      <c r="L1367">
        <v>5</v>
      </c>
      <c r="M1367" t="s">
        <v>19</v>
      </c>
      <c r="N1367">
        <f t="shared" si="42"/>
        <v>23.9</v>
      </c>
      <c r="O1367" t="b">
        <f t="shared" si="43"/>
        <v>1</v>
      </c>
    </row>
    <row r="1368" spans="1:15">
      <c r="A1368" t="s">
        <v>1544</v>
      </c>
      <c r="B1368" s="2">
        <v>46035</v>
      </c>
      <c r="C1368" t="s">
        <v>366</v>
      </c>
      <c r="D1368" t="s">
        <v>35</v>
      </c>
      <c r="E1368" t="s">
        <v>126</v>
      </c>
      <c r="F1368" t="s">
        <v>31</v>
      </c>
      <c r="G1368">
        <v>2</v>
      </c>
      <c r="H1368" s="3">
        <v>7.95</v>
      </c>
      <c r="I1368" s="3">
        <v>15.9</v>
      </c>
      <c r="J1368" t="s">
        <v>53</v>
      </c>
      <c r="K1368">
        <v>23</v>
      </c>
      <c r="L1368">
        <v>20</v>
      </c>
      <c r="M1368" t="s">
        <v>19</v>
      </c>
      <c r="N1368">
        <f t="shared" si="42"/>
        <v>15.9</v>
      </c>
      <c r="O1368" t="b">
        <f t="shared" si="43"/>
        <v>1</v>
      </c>
    </row>
    <row r="1369" spans="1:15">
      <c r="A1369" t="s">
        <v>1545</v>
      </c>
      <c r="B1369" s="2">
        <v>46248</v>
      </c>
      <c r="C1369" t="s">
        <v>265</v>
      </c>
      <c r="D1369" t="s">
        <v>35</v>
      </c>
      <c r="E1369" t="s">
        <v>50</v>
      </c>
      <c r="F1369" t="s">
        <v>17</v>
      </c>
      <c r="G1369">
        <v>2</v>
      </c>
      <c r="H1369" s="3">
        <v>14.5</v>
      </c>
      <c r="I1369" s="3">
        <v>-29</v>
      </c>
      <c r="J1369" t="s">
        <v>18</v>
      </c>
      <c r="K1369">
        <v>27</v>
      </c>
      <c r="L1369">
        <v>14</v>
      </c>
      <c r="M1369" t="s">
        <v>62</v>
      </c>
      <c r="N1369">
        <f t="shared" si="42"/>
        <v>29</v>
      </c>
      <c r="O1369" t="b">
        <f t="shared" si="43"/>
        <v>1</v>
      </c>
    </row>
    <row r="1370" spans="1:15">
      <c r="A1370" t="s">
        <v>1546</v>
      </c>
      <c r="B1370" s="2">
        <v>46080</v>
      </c>
      <c r="C1370" t="s">
        <v>173</v>
      </c>
      <c r="D1370" t="s">
        <v>35</v>
      </c>
      <c r="E1370" t="s">
        <v>93</v>
      </c>
      <c r="F1370" t="s">
        <v>31</v>
      </c>
      <c r="G1370">
        <v>1</v>
      </c>
      <c r="H1370" s="3">
        <v>6.25</v>
      </c>
      <c r="I1370" s="3">
        <v>6.25</v>
      </c>
      <c r="J1370" t="s">
        <v>27</v>
      </c>
      <c r="K1370">
        <v>4</v>
      </c>
      <c r="L1370">
        <v>21</v>
      </c>
      <c r="M1370" t="s">
        <v>19</v>
      </c>
      <c r="N1370">
        <f t="shared" si="42"/>
        <v>6.25</v>
      </c>
      <c r="O1370" t="b">
        <f t="shared" si="43"/>
        <v>1</v>
      </c>
    </row>
    <row r="1371" spans="1:15">
      <c r="A1371" t="s">
        <v>1547</v>
      </c>
      <c r="B1371" s="2">
        <v>46060</v>
      </c>
      <c r="C1371" t="s">
        <v>49</v>
      </c>
      <c r="D1371" t="s">
        <v>35</v>
      </c>
      <c r="E1371" t="s">
        <v>16</v>
      </c>
      <c r="F1371" t="s">
        <v>17</v>
      </c>
      <c r="G1371">
        <v>2</v>
      </c>
      <c r="H1371" s="3">
        <v>9.9499999999999993</v>
      </c>
      <c r="I1371" s="3">
        <v>19.899999999999999</v>
      </c>
      <c r="J1371" t="s">
        <v>18</v>
      </c>
      <c r="K1371">
        <v>10</v>
      </c>
      <c r="L1371">
        <v>16</v>
      </c>
      <c r="M1371" t="s">
        <v>19</v>
      </c>
      <c r="N1371">
        <f t="shared" si="42"/>
        <v>19.899999999999999</v>
      </c>
      <c r="O1371" t="b">
        <f t="shared" si="43"/>
        <v>1</v>
      </c>
    </row>
    <row r="1372" spans="1:15">
      <c r="A1372" t="s">
        <v>1548</v>
      </c>
      <c r="B1372" s="2">
        <v>46192</v>
      </c>
      <c r="C1372" t="s">
        <v>105</v>
      </c>
      <c r="D1372" t="s">
        <v>35</v>
      </c>
      <c r="E1372" t="s">
        <v>121</v>
      </c>
      <c r="F1372" t="s">
        <v>23</v>
      </c>
      <c r="G1372">
        <v>1</v>
      </c>
      <c r="H1372" s="3">
        <v>6.5</v>
      </c>
      <c r="I1372" s="3">
        <v>6.5</v>
      </c>
      <c r="J1372" t="s">
        <v>27</v>
      </c>
      <c r="K1372">
        <v>10</v>
      </c>
      <c r="L1372">
        <v>13</v>
      </c>
      <c r="M1372" t="s">
        <v>19</v>
      </c>
      <c r="N1372">
        <f t="shared" si="42"/>
        <v>6.5</v>
      </c>
      <c r="O1372" t="b">
        <f t="shared" si="43"/>
        <v>1</v>
      </c>
    </row>
    <row r="1373" spans="1:15">
      <c r="A1373" t="s">
        <v>1549</v>
      </c>
      <c r="B1373" s="2">
        <v>46212</v>
      </c>
      <c r="C1373" t="s">
        <v>105</v>
      </c>
      <c r="D1373" t="s">
        <v>35</v>
      </c>
      <c r="E1373" t="s">
        <v>126</v>
      </c>
      <c r="F1373" t="s">
        <v>31</v>
      </c>
      <c r="G1373">
        <v>3</v>
      </c>
      <c r="H1373" s="3">
        <v>7.95</v>
      </c>
      <c r="I1373" s="3">
        <v>23.85</v>
      </c>
      <c r="J1373" t="s">
        <v>18</v>
      </c>
      <c r="K1373">
        <v>19</v>
      </c>
      <c r="L1373">
        <v>16</v>
      </c>
      <c r="M1373" t="s">
        <v>19</v>
      </c>
      <c r="N1373">
        <f t="shared" si="42"/>
        <v>23.85</v>
      </c>
      <c r="O1373" t="b">
        <f t="shared" si="43"/>
        <v>1</v>
      </c>
    </row>
    <row r="1374" spans="1:15">
      <c r="A1374" t="s">
        <v>1550</v>
      </c>
      <c r="B1374" s="2">
        <v>46266</v>
      </c>
      <c r="C1374" t="s">
        <v>105</v>
      </c>
      <c r="D1374" t="s">
        <v>35</v>
      </c>
      <c r="E1374" t="s">
        <v>50</v>
      </c>
      <c r="F1374" t="s">
        <v>17</v>
      </c>
      <c r="G1374">
        <v>2</v>
      </c>
      <c r="H1374" s="3">
        <v>14.5</v>
      </c>
      <c r="I1374" s="3">
        <v>29</v>
      </c>
      <c r="J1374" t="s">
        <v>18</v>
      </c>
      <c r="K1374">
        <v>28</v>
      </c>
      <c r="L1374">
        <v>25</v>
      </c>
      <c r="M1374" t="s">
        <v>19</v>
      </c>
      <c r="N1374">
        <f t="shared" si="42"/>
        <v>29</v>
      </c>
      <c r="O1374" t="b">
        <f t="shared" si="43"/>
        <v>1</v>
      </c>
    </row>
    <row r="1375" spans="1:15">
      <c r="A1375" t="s">
        <v>1551</v>
      </c>
      <c r="B1375" s="2">
        <v>46139</v>
      </c>
      <c r="C1375" t="s">
        <v>421</v>
      </c>
      <c r="D1375" t="s">
        <v>15</v>
      </c>
      <c r="E1375" t="s">
        <v>126</v>
      </c>
      <c r="F1375" t="s">
        <v>31</v>
      </c>
      <c r="G1375">
        <v>1</v>
      </c>
      <c r="H1375" s="3">
        <v>7.95</v>
      </c>
      <c r="I1375" s="3">
        <v>7.95</v>
      </c>
      <c r="J1375" t="s">
        <v>18</v>
      </c>
      <c r="K1375">
        <v>9</v>
      </c>
      <c r="L1375">
        <v>21</v>
      </c>
      <c r="M1375" t="s">
        <v>19</v>
      </c>
      <c r="N1375">
        <f t="shared" si="42"/>
        <v>7.95</v>
      </c>
      <c r="O1375" t="b">
        <f t="shared" si="43"/>
        <v>1</v>
      </c>
    </row>
    <row r="1376" spans="1:15">
      <c r="A1376" t="s">
        <v>1552</v>
      </c>
      <c r="B1376" s="2">
        <v>46283</v>
      </c>
      <c r="C1376" t="s">
        <v>145</v>
      </c>
      <c r="D1376" t="s">
        <v>35</v>
      </c>
      <c r="E1376" t="s">
        <v>103</v>
      </c>
      <c r="F1376" t="s">
        <v>23</v>
      </c>
      <c r="G1376">
        <v>2</v>
      </c>
      <c r="H1376" s="3">
        <v>3.25</v>
      </c>
      <c r="I1376" s="3">
        <v>6.5</v>
      </c>
      <c r="J1376" t="s">
        <v>53</v>
      </c>
      <c r="K1376">
        <v>19</v>
      </c>
      <c r="L1376">
        <v>21</v>
      </c>
      <c r="M1376" t="s">
        <v>19</v>
      </c>
      <c r="N1376">
        <f t="shared" si="42"/>
        <v>6.5</v>
      </c>
      <c r="O1376" t="b">
        <f t="shared" si="43"/>
        <v>1</v>
      </c>
    </row>
    <row r="1377" spans="1:15">
      <c r="A1377" t="s">
        <v>1553</v>
      </c>
      <c r="B1377" s="2">
        <v>46183</v>
      </c>
      <c r="C1377" t="s">
        <v>171</v>
      </c>
      <c r="D1377" t="s">
        <v>35</v>
      </c>
      <c r="E1377" t="s">
        <v>106</v>
      </c>
      <c r="F1377" t="s">
        <v>17</v>
      </c>
      <c r="G1377">
        <v>2</v>
      </c>
      <c r="H1377" s="3">
        <v>15.95</v>
      </c>
      <c r="I1377" s="3">
        <v>31.9</v>
      </c>
      <c r="J1377" t="s">
        <v>18</v>
      </c>
      <c r="K1377">
        <v>6</v>
      </c>
      <c r="L1377">
        <v>18</v>
      </c>
      <c r="M1377" t="s">
        <v>19</v>
      </c>
      <c r="N1377">
        <f t="shared" si="42"/>
        <v>31.9</v>
      </c>
      <c r="O1377" t="b">
        <f t="shared" si="43"/>
        <v>1</v>
      </c>
    </row>
    <row r="1378" spans="1:15">
      <c r="A1378" t="s">
        <v>1554</v>
      </c>
      <c r="B1378" s="2">
        <v>46217</v>
      </c>
      <c r="C1378" t="s">
        <v>45</v>
      </c>
      <c r="D1378" t="s">
        <v>15</v>
      </c>
      <c r="E1378" t="s">
        <v>16</v>
      </c>
      <c r="F1378" t="s">
        <v>17</v>
      </c>
      <c r="G1378">
        <v>1</v>
      </c>
      <c r="H1378" s="3">
        <v>9.9499999999999993</v>
      </c>
      <c r="I1378" s="3">
        <v>9.9499999999999993</v>
      </c>
      <c r="J1378" t="s">
        <v>32</v>
      </c>
      <c r="K1378">
        <v>24</v>
      </c>
      <c r="L1378">
        <v>20</v>
      </c>
      <c r="M1378" t="s">
        <v>19</v>
      </c>
      <c r="N1378">
        <f t="shared" si="42"/>
        <v>9.9499999999999993</v>
      </c>
      <c r="O1378" t="b">
        <f t="shared" si="43"/>
        <v>1</v>
      </c>
    </row>
    <row r="1379" spans="1:15">
      <c r="A1379" t="s">
        <v>1555</v>
      </c>
      <c r="B1379" s="2">
        <v>46123</v>
      </c>
      <c r="C1379" t="s">
        <v>307</v>
      </c>
      <c r="D1379" t="s">
        <v>15</v>
      </c>
      <c r="E1379" t="s">
        <v>26</v>
      </c>
      <c r="F1379" t="s">
        <v>17</v>
      </c>
      <c r="G1379">
        <v>2</v>
      </c>
      <c r="H1379" s="3">
        <v>11.5</v>
      </c>
      <c r="I1379" s="3">
        <v>23</v>
      </c>
      <c r="J1379" t="s">
        <v>27</v>
      </c>
      <c r="K1379">
        <v>29</v>
      </c>
      <c r="L1379">
        <v>22</v>
      </c>
      <c r="M1379" t="s">
        <v>19</v>
      </c>
      <c r="N1379">
        <f t="shared" si="42"/>
        <v>23</v>
      </c>
      <c r="O1379" t="b">
        <f t="shared" si="43"/>
        <v>1</v>
      </c>
    </row>
    <row r="1380" spans="1:15">
      <c r="A1380" t="s">
        <v>1556</v>
      </c>
      <c r="B1380" s="2">
        <v>46126</v>
      </c>
      <c r="C1380" t="s">
        <v>352</v>
      </c>
      <c r="D1380" t="s">
        <v>15</v>
      </c>
      <c r="E1380" t="s">
        <v>59</v>
      </c>
      <c r="F1380" t="s">
        <v>17</v>
      </c>
      <c r="G1380">
        <v>3</v>
      </c>
      <c r="H1380" s="3">
        <v>11.95</v>
      </c>
      <c r="I1380" s="3">
        <v>35.85</v>
      </c>
      <c r="J1380" t="s">
        <v>32</v>
      </c>
      <c r="K1380">
        <v>18</v>
      </c>
      <c r="L1380">
        <v>22</v>
      </c>
      <c r="M1380" t="s">
        <v>19</v>
      </c>
      <c r="N1380">
        <f t="shared" si="42"/>
        <v>35.849999999999994</v>
      </c>
      <c r="O1380" t="b">
        <f t="shared" si="43"/>
        <v>1</v>
      </c>
    </row>
    <row r="1381" spans="1:15">
      <c r="A1381" t="s">
        <v>1557</v>
      </c>
      <c r="B1381" s="2">
        <v>46063</v>
      </c>
      <c r="C1381" t="s">
        <v>381</v>
      </c>
      <c r="D1381" t="s">
        <v>35</v>
      </c>
      <c r="E1381" t="s">
        <v>121</v>
      </c>
      <c r="F1381" t="s">
        <v>23</v>
      </c>
      <c r="G1381">
        <v>1</v>
      </c>
      <c r="H1381" s="3">
        <v>6.5</v>
      </c>
      <c r="I1381" s="3">
        <v>6.5</v>
      </c>
      <c r="J1381" t="s">
        <v>32</v>
      </c>
      <c r="K1381">
        <v>9</v>
      </c>
      <c r="L1381">
        <v>16</v>
      </c>
      <c r="M1381" t="s">
        <v>19</v>
      </c>
      <c r="N1381">
        <f t="shared" si="42"/>
        <v>6.5</v>
      </c>
      <c r="O1381" t="b">
        <f t="shared" si="43"/>
        <v>1</v>
      </c>
    </row>
    <row r="1382" spans="1:15">
      <c r="A1382" t="s">
        <v>1558</v>
      </c>
      <c r="B1382" s="2">
        <v>46116</v>
      </c>
      <c r="C1382" t="s">
        <v>114</v>
      </c>
      <c r="D1382" t="s">
        <v>35</v>
      </c>
      <c r="E1382" t="s">
        <v>16</v>
      </c>
      <c r="F1382" t="s">
        <v>17</v>
      </c>
      <c r="G1382">
        <v>2</v>
      </c>
      <c r="H1382" s="3">
        <v>9.9499999999999993</v>
      </c>
      <c r="I1382" s="3">
        <v>19.899999999999999</v>
      </c>
      <c r="J1382" t="s">
        <v>18</v>
      </c>
      <c r="K1382">
        <v>9</v>
      </c>
      <c r="L1382">
        <v>27</v>
      </c>
      <c r="M1382" t="s">
        <v>19</v>
      </c>
      <c r="N1382">
        <f t="shared" si="42"/>
        <v>19.899999999999999</v>
      </c>
      <c r="O1382" t="b">
        <f t="shared" si="43"/>
        <v>1</v>
      </c>
    </row>
    <row r="1383" spans="1:15">
      <c r="A1383" t="s">
        <v>1559</v>
      </c>
      <c r="B1383" s="2">
        <v>46069</v>
      </c>
      <c r="C1383" t="s">
        <v>279</v>
      </c>
      <c r="D1383" t="s">
        <v>35</v>
      </c>
      <c r="E1383" t="s">
        <v>50</v>
      </c>
      <c r="F1383" t="s">
        <v>17</v>
      </c>
      <c r="G1383">
        <v>1</v>
      </c>
      <c r="H1383" s="3">
        <v>14.5</v>
      </c>
      <c r="I1383" s="3">
        <v>14.5</v>
      </c>
      <c r="J1383" t="s">
        <v>27</v>
      </c>
      <c r="K1383">
        <v>7</v>
      </c>
      <c r="L1383">
        <v>35</v>
      </c>
      <c r="M1383" t="s">
        <v>19</v>
      </c>
      <c r="N1383">
        <f t="shared" si="42"/>
        <v>14.5</v>
      </c>
      <c r="O1383" t="b">
        <f t="shared" si="43"/>
        <v>1</v>
      </c>
    </row>
    <row r="1384" spans="1:15">
      <c r="A1384" t="s">
        <v>1560</v>
      </c>
      <c r="B1384" s="2">
        <v>46267</v>
      </c>
      <c r="C1384" t="s">
        <v>191</v>
      </c>
      <c r="D1384" t="s">
        <v>35</v>
      </c>
      <c r="E1384" t="s">
        <v>93</v>
      </c>
      <c r="F1384" t="s">
        <v>31</v>
      </c>
      <c r="G1384">
        <v>2</v>
      </c>
      <c r="H1384" s="3">
        <v>6.25</v>
      </c>
      <c r="I1384" s="3">
        <v>12.5</v>
      </c>
      <c r="J1384" t="s">
        <v>18</v>
      </c>
      <c r="K1384">
        <v>3</v>
      </c>
      <c r="L1384">
        <v>20</v>
      </c>
      <c r="M1384" t="s">
        <v>19</v>
      </c>
      <c r="N1384">
        <f t="shared" si="42"/>
        <v>12.5</v>
      </c>
      <c r="O1384" t="b">
        <f t="shared" si="43"/>
        <v>1</v>
      </c>
    </row>
    <row r="1385" spans="1:15">
      <c r="A1385" t="s">
        <v>1561</v>
      </c>
      <c r="B1385" s="2">
        <v>46074</v>
      </c>
      <c r="C1385" t="s">
        <v>210</v>
      </c>
      <c r="D1385" t="s">
        <v>35</v>
      </c>
      <c r="E1385" t="s">
        <v>103</v>
      </c>
      <c r="F1385" t="s">
        <v>23</v>
      </c>
      <c r="G1385">
        <v>1</v>
      </c>
      <c r="H1385" s="3">
        <v>3.25</v>
      </c>
      <c r="I1385" s="3">
        <v>3.25</v>
      </c>
      <c r="J1385" t="s">
        <v>18</v>
      </c>
      <c r="K1385">
        <v>19</v>
      </c>
      <c r="L1385">
        <v>15</v>
      </c>
      <c r="M1385" t="s">
        <v>19</v>
      </c>
      <c r="N1385">
        <f t="shared" si="42"/>
        <v>3.25</v>
      </c>
      <c r="O1385" t="b">
        <f t="shared" si="43"/>
        <v>1</v>
      </c>
    </row>
    <row r="1386" spans="1:15">
      <c r="A1386" t="s">
        <v>1562</v>
      </c>
      <c r="B1386" s="2">
        <v>46080</v>
      </c>
      <c r="C1386" t="s">
        <v>137</v>
      </c>
      <c r="D1386" t="s">
        <v>35</v>
      </c>
      <c r="E1386" t="s">
        <v>70</v>
      </c>
      <c r="F1386" t="s">
        <v>17</v>
      </c>
      <c r="G1386">
        <v>2</v>
      </c>
      <c r="H1386" s="3">
        <v>12.5</v>
      </c>
      <c r="I1386" s="3">
        <v>25</v>
      </c>
      <c r="J1386" t="s">
        <v>27</v>
      </c>
      <c r="K1386">
        <v>1</v>
      </c>
      <c r="L1386">
        <v>15</v>
      </c>
      <c r="M1386" t="s">
        <v>19</v>
      </c>
      <c r="N1386">
        <f t="shared" si="42"/>
        <v>25</v>
      </c>
      <c r="O1386" t="b">
        <f t="shared" si="43"/>
        <v>1</v>
      </c>
    </row>
    <row r="1387" spans="1:15">
      <c r="A1387" t="s">
        <v>1563</v>
      </c>
      <c r="B1387" s="2">
        <v>46231</v>
      </c>
      <c r="C1387" t="s">
        <v>137</v>
      </c>
      <c r="D1387" t="s">
        <v>35</v>
      </c>
      <c r="E1387" t="s">
        <v>106</v>
      </c>
      <c r="F1387" t="s">
        <v>17</v>
      </c>
      <c r="G1387">
        <v>1</v>
      </c>
      <c r="H1387" s="3">
        <v>15.95</v>
      </c>
      <c r="I1387" s="3">
        <v>15.95</v>
      </c>
      <c r="J1387" t="s">
        <v>27</v>
      </c>
      <c r="K1387">
        <v>17</v>
      </c>
      <c r="L1387">
        <v>15</v>
      </c>
      <c r="M1387" t="s">
        <v>19</v>
      </c>
      <c r="N1387">
        <f t="shared" si="42"/>
        <v>15.95</v>
      </c>
      <c r="O1387" t="b">
        <f t="shared" si="43"/>
        <v>1</v>
      </c>
    </row>
    <row r="1388" spans="1:15">
      <c r="A1388" t="s">
        <v>1564</v>
      </c>
      <c r="B1388" s="2">
        <v>46176</v>
      </c>
      <c r="C1388" t="s">
        <v>202</v>
      </c>
      <c r="D1388" t="s">
        <v>15</v>
      </c>
      <c r="E1388" t="s">
        <v>93</v>
      </c>
      <c r="F1388" t="s">
        <v>31</v>
      </c>
      <c r="G1388">
        <v>1</v>
      </c>
      <c r="H1388" s="3">
        <v>6.25</v>
      </c>
      <c r="I1388" s="3">
        <v>6.25</v>
      </c>
      <c r="J1388" t="s">
        <v>53</v>
      </c>
      <c r="K1388">
        <v>4</v>
      </c>
      <c r="L1388">
        <v>7</v>
      </c>
      <c r="M1388" t="s">
        <v>19</v>
      </c>
      <c r="N1388">
        <f t="shared" si="42"/>
        <v>6.25</v>
      </c>
      <c r="O1388" t="b">
        <f t="shared" si="43"/>
        <v>1</v>
      </c>
    </row>
    <row r="1389" spans="1:15">
      <c r="A1389" t="s">
        <v>1565</v>
      </c>
      <c r="B1389" s="2">
        <v>46116</v>
      </c>
      <c r="C1389" t="s">
        <v>102</v>
      </c>
      <c r="D1389" t="s">
        <v>35</v>
      </c>
      <c r="E1389" t="s">
        <v>103</v>
      </c>
      <c r="F1389" t="s">
        <v>23</v>
      </c>
      <c r="G1389">
        <v>1</v>
      </c>
      <c r="H1389" s="3">
        <v>3.25</v>
      </c>
      <c r="I1389" s="3">
        <v>3.25</v>
      </c>
      <c r="J1389" t="s">
        <v>32</v>
      </c>
      <c r="K1389">
        <v>3</v>
      </c>
      <c r="L1389">
        <v>12</v>
      </c>
      <c r="M1389" t="s">
        <v>19</v>
      </c>
      <c r="N1389">
        <f t="shared" si="42"/>
        <v>3.25</v>
      </c>
      <c r="O1389" t="b">
        <f t="shared" si="43"/>
        <v>1</v>
      </c>
    </row>
    <row r="1390" spans="1:15">
      <c r="A1390" t="s">
        <v>1566</v>
      </c>
      <c r="B1390" s="2">
        <v>46178</v>
      </c>
      <c r="C1390" t="s">
        <v>77</v>
      </c>
      <c r="D1390" t="s">
        <v>15</v>
      </c>
      <c r="E1390" t="s">
        <v>36</v>
      </c>
      <c r="F1390" t="s">
        <v>23</v>
      </c>
      <c r="G1390">
        <v>2</v>
      </c>
      <c r="H1390" s="3">
        <v>2.8</v>
      </c>
      <c r="I1390" s="3">
        <v>5.6</v>
      </c>
      <c r="J1390" t="s">
        <v>27</v>
      </c>
      <c r="K1390">
        <v>7</v>
      </c>
      <c r="L1390">
        <v>10</v>
      </c>
      <c r="M1390" t="s">
        <v>19</v>
      </c>
      <c r="N1390">
        <f t="shared" si="42"/>
        <v>5.6</v>
      </c>
      <c r="O1390" t="b">
        <f t="shared" si="43"/>
        <v>1</v>
      </c>
    </row>
    <row r="1391" spans="1:15">
      <c r="A1391" t="s">
        <v>1567</v>
      </c>
      <c r="B1391" s="2">
        <v>46179</v>
      </c>
      <c r="C1391" t="s">
        <v>275</v>
      </c>
      <c r="D1391" t="s">
        <v>15</v>
      </c>
      <c r="E1391" t="s">
        <v>59</v>
      </c>
      <c r="F1391" t="s">
        <v>17</v>
      </c>
      <c r="G1391">
        <v>2</v>
      </c>
      <c r="H1391" s="3">
        <v>11.95</v>
      </c>
      <c r="I1391" s="3">
        <v>23.9</v>
      </c>
      <c r="J1391" t="s">
        <v>18</v>
      </c>
      <c r="K1391">
        <v>7</v>
      </c>
      <c r="L1391">
        <v>5</v>
      </c>
      <c r="M1391" t="s">
        <v>19</v>
      </c>
      <c r="N1391">
        <f t="shared" si="42"/>
        <v>23.9</v>
      </c>
      <c r="O1391" t="b">
        <f t="shared" si="43"/>
        <v>1</v>
      </c>
    </row>
    <row r="1392" spans="1:15">
      <c r="A1392" t="s">
        <v>1568</v>
      </c>
      <c r="B1392" s="2">
        <v>46102</v>
      </c>
      <c r="C1392" t="s">
        <v>429</v>
      </c>
      <c r="D1392" t="s">
        <v>15</v>
      </c>
      <c r="E1392" t="s">
        <v>106</v>
      </c>
      <c r="F1392" t="s">
        <v>17</v>
      </c>
      <c r="G1392">
        <v>2</v>
      </c>
      <c r="H1392" s="3">
        <v>15.95</v>
      </c>
      <c r="I1392" s="3">
        <v>31.9</v>
      </c>
      <c r="J1392" t="s">
        <v>53</v>
      </c>
      <c r="K1392">
        <v>17</v>
      </c>
      <c r="L1392">
        <v>13</v>
      </c>
      <c r="M1392" t="s">
        <v>19</v>
      </c>
      <c r="N1392">
        <f t="shared" si="42"/>
        <v>31.9</v>
      </c>
      <c r="O1392" t="b">
        <f t="shared" si="43"/>
        <v>1</v>
      </c>
    </row>
    <row r="1393" spans="1:15">
      <c r="A1393" t="s">
        <v>1569</v>
      </c>
      <c r="B1393" s="2">
        <v>46236</v>
      </c>
      <c r="C1393" t="s">
        <v>228</v>
      </c>
      <c r="D1393" t="s">
        <v>35</v>
      </c>
      <c r="E1393" t="s">
        <v>41</v>
      </c>
      <c r="F1393" t="s">
        <v>31</v>
      </c>
      <c r="G1393">
        <v>1</v>
      </c>
      <c r="H1393" s="3">
        <v>5.5</v>
      </c>
      <c r="I1393" s="3">
        <v>5.5</v>
      </c>
      <c r="J1393" t="s">
        <v>27</v>
      </c>
      <c r="K1393">
        <v>12</v>
      </c>
      <c r="L1393">
        <v>15</v>
      </c>
      <c r="M1393" t="s">
        <v>19</v>
      </c>
      <c r="N1393">
        <f t="shared" si="42"/>
        <v>5.5</v>
      </c>
      <c r="O1393" t="b">
        <f t="shared" si="43"/>
        <v>1</v>
      </c>
    </row>
    <row r="1394" spans="1:15">
      <c r="A1394" t="s">
        <v>1570</v>
      </c>
      <c r="B1394" s="2">
        <v>46193</v>
      </c>
      <c r="C1394" t="s">
        <v>271</v>
      </c>
      <c r="D1394" t="s">
        <v>35</v>
      </c>
      <c r="E1394" t="s">
        <v>96</v>
      </c>
      <c r="F1394" t="s">
        <v>47</v>
      </c>
      <c r="G1394">
        <v>1</v>
      </c>
      <c r="H1394" s="3">
        <v>5.75</v>
      </c>
      <c r="I1394" s="3">
        <v>5.75</v>
      </c>
      <c r="J1394" t="s">
        <v>53</v>
      </c>
      <c r="K1394">
        <v>25</v>
      </c>
      <c r="L1394">
        <v>15</v>
      </c>
      <c r="M1394" t="s">
        <v>19</v>
      </c>
      <c r="N1394">
        <f t="shared" si="42"/>
        <v>5.75</v>
      </c>
      <c r="O1394" t="b">
        <f t="shared" si="43"/>
        <v>1</v>
      </c>
    </row>
    <row r="1395" spans="1:15">
      <c r="A1395" t="s">
        <v>1571</v>
      </c>
      <c r="B1395" s="2">
        <v>46051</v>
      </c>
      <c r="C1395" t="s">
        <v>64</v>
      </c>
      <c r="D1395" t="s">
        <v>35</v>
      </c>
      <c r="E1395" t="s">
        <v>50</v>
      </c>
      <c r="F1395" t="s">
        <v>17</v>
      </c>
      <c r="G1395">
        <v>4</v>
      </c>
      <c r="H1395" s="3">
        <v>14.5</v>
      </c>
      <c r="I1395" s="3">
        <v>-58</v>
      </c>
      <c r="J1395" t="s">
        <v>27</v>
      </c>
      <c r="K1395">
        <v>9</v>
      </c>
      <c r="L1395">
        <v>23</v>
      </c>
      <c r="M1395" t="s">
        <v>62</v>
      </c>
      <c r="N1395">
        <f t="shared" si="42"/>
        <v>58</v>
      </c>
      <c r="O1395" t="b">
        <f t="shared" si="43"/>
        <v>1</v>
      </c>
    </row>
    <row r="1396" spans="1:15">
      <c r="A1396" t="s">
        <v>1572</v>
      </c>
      <c r="B1396" s="2">
        <v>46126</v>
      </c>
      <c r="C1396" t="s">
        <v>465</v>
      </c>
      <c r="D1396" t="s">
        <v>15</v>
      </c>
      <c r="E1396" t="s">
        <v>30</v>
      </c>
      <c r="F1396" t="s">
        <v>31</v>
      </c>
      <c r="G1396">
        <v>1</v>
      </c>
      <c r="H1396" s="3">
        <v>8.5</v>
      </c>
      <c r="I1396" s="3">
        <v>8.5</v>
      </c>
      <c r="J1396" t="s">
        <v>18</v>
      </c>
      <c r="K1396">
        <v>18</v>
      </c>
      <c r="L1396">
        <v>17</v>
      </c>
      <c r="M1396" t="s">
        <v>19</v>
      </c>
      <c r="N1396">
        <f t="shared" si="42"/>
        <v>8.5</v>
      </c>
      <c r="O1396" t="b">
        <f t="shared" si="43"/>
        <v>1</v>
      </c>
    </row>
    <row r="1397" spans="1:15">
      <c r="A1397" t="s">
        <v>1573</v>
      </c>
      <c r="B1397" s="2">
        <v>46133</v>
      </c>
      <c r="C1397" t="s">
        <v>195</v>
      </c>
      <c r="D1397" t="s">
        <v>35</v>
      </c>
      <c r="E1397" t="s">
        <v>59</v>
      </c>
      <c r="F1397" t="s">
        <v>17</v>
      </c>
      <c r="G1397">
        <v>1</v>
      </c>
      <c r="H1397" s="3">
        <v>11.95</v>
      </c>
      <c r="I1397" s="3">
        <v>11.95</v>
      </c>
      <c r="J1397" t="s">
        <v>18</v>
      </c>
      <c r="K1397">
        <v>11</v>
      </c>
      <c r="L1397">
        <v>14</v>
      </c>
      <c r="M1397" t="s">
        <v>19</v>
      </c>
      <c r="N1397">
        <f t="shared" si="42"/>
        <v>11.95</v>
      </c>
      <c r="O1397" t="b">
        <f t="shared" si="43"/>
        <v>1</v>
      </c>
    </row>
    <row r="1398" spans="1:15">
      <c r="A1398" t="s">
        <v>1574</v>
      </c>
      <c r="B1398" s="2">
        <v>46263</v>
      </c>
      <c r="C1398" t="s">
        <v>199</v>
      </c>
      <c r="D1398" t="s">
        <v>35</v>
      </c>
      <c r="E1398" t="s">
        <v>46</v>
      </c>
      <c r="F1398" t="s">
        <v>47</v>
      </c>
      <c r="G1398">
        <v>2</v>
      </c>
      <c r="H1398" s="3">
        <v>6.95</v>
      </c>
      <c r="I1398" s="3">
        <v>13.9</v>
      </c>
      <c r="J1398" t="s">
        <v>18</v>
      </c>
      <c r="K1398">
        <v>20</v>
      </c>
      <c r="L1398">
        <v>15</v>
      </c>
      <c r="M1398" t="s">
        <v>19</v>
      </c>
      <c r="N1398">
        <f t="shared" si="42"/>
        <v>13.9</v>
      </c>
      <c r="O1398" t="b">
        <f t="shared" si="43"/>
        <v>1</v>
      </c>
    </row>
    <row r="1399" spans="1:15">
      <c r="A1399" t="s">
        <v>1575</v>
      </c>
      <c r="B1399" s="2">
        <v>46053</v>
      </c>
      <c r="C1399" t="s">
        <v>465</v>
      </c>
      <c r="D1399" t="s">
        <v>15</v>
      </c>
      <c r="E1399" t="s">
        <v>36</v>
      </c>
      <c r="F1399" t="s">
        <v>23</v>
      </c>
      <c r="G1399">
        <v>1</v>
      </c>
      <c r="H1399" s="3">
        <v>2.8</v>
      </c>
      <c r="I1399" s="3">
        <v>2.8</v>
      </c>
      <c r="J1399" t="s">
        <v>18</v>
      </c>
      <c r="K1399">
        <v>4</v>
      </c>
      <c r="L1399">
        <v>9</v>
      </c>
      <c r="M1399" t="s">
        <v>19</v>
      </c>
      <c r="N1399">
        <f t="shared" si="42"/>
        <v>2.8</v>
      </c>
      <c r="O1399" t="b">
        <f t="shared" si="43"/>
        <v>1</v>
      </c>
    </row>
    <row r="1400" spans="1:15">
      <c r="A1400" t="s">
        <v>1576</v>
      </c>
      <c r="B1400" s="2">
        <v>46060</v>
      </c>
      <c r="C1400" t="s">
        <v>150</v>
      </c>
      <c r="D1400" t="s">
        <v>15</v>
      </c>
      <c r="E1400" t="s">
        <v>50</v>
      </c>
      <c r="F1400" t="s">
        <v>17</v>
      </c>
      <c r="G1400">
        <v>2</v>
      </c>
      <c r="H1400" s="3">
        <v>14.5</v>
      </c>
      <c r="I1400" s="3">
        <v>29</v>
      </c>
      <c r="J1400" t="s">
        <v>27</v>
      </c>
      <c r="K1400">
        <v>8</v>
      </c>
      <c r="L1400">
        <v>16</v>
      </c>
      <c r="M1400" t="s">
        <v>19</v>
      </c>
      <c r="N1400">
        <f t="shared" si="42"/>
        <v>29</v>
      </c>
      <c r="O1400" t="b">
        <f t="shared" si="43"/>
        <v>1</v>
      </c>
    </row>
    <row r="1401" spans="1:15">
      <c r="A1401" t="s">
        <v>1577</v>
      </c>
      <c r="B1401" s="2">
        <v>46156</v>
      </c>
      <c r="C1401" t="s">
        <v>551</v>
      </c>
      <c r="D1401" t="s">
        <v>35</v>
      </c>
      <c r="E1401" t="s">
        <v>26</v>
      </c>
      <c r="F1401" t="s">
        <v>17</v>
      </c>
      <c r="G1401">
        <v>1</v>
      </c>
      <c r="H1401" s="3">
        <v>11.5</v>
      </c>
      <c r="I1401" s="3">
        <v>-11.5</v>
      </c>
      <c r="J1401" t="s">
        <v>53</v>
      </c>
      <c r="K1401">
        <v>3</v>
      </c>
      <c r="L1401">
        <v>22</v>
      </c>
      <c r="M1401" t="s">
        <v>62</v>
      </c>
      <c r="N1401">
        <f t="shared" si="42"/>
        <v>11.5</v>
      </c>
      <c r="O1401" t="b">
        <f t="shared" si="43"/>
        <v>1</v>
      </c>
    </row>
    <row r="1402" spans="1:15">
      <c r="A1402" t="s">
        <v>1578</v>
      </c>
      <c r="B1402" s="2">
        <v>46183</v>
      </c>
      <c r="C1402" t="s">
        <v>541</v>
      </c>
      <c r="D1402" t="s">
        <v>35</v>
      </c>
      <c r="E1402" t="s">
        <v>70</v>
      </c>
      <c r="F1402" t="s">
        <v>17</v>
      </c>
      <c r="G1402">
        <v>1</v>
      </c>
      <c r="H1402" s="3">
        <v>12.5</v>
      </c>
      <c r="I1402" s="3">
        <v>12.5</v>
      </c>
      <c r="J1402" t="s">
        <v>18</v>
      </c>
      <c r="K1402">
        <v>7</v>
      </c>
      <c r="L1402">
        <v>20</v>
      </c>
      <c r="M1402" t="s">
        <v>19</v>
      </c>
      <c r="N1402">
        <f t="shared" si="42"/>
        <v>12.5</v>
      </c>
      <c r="O1402" t="b">
        <f t="shared" si="43"/>
        <v>1</v>
      </c>
    </row>
    <row r="1403" spans="1:15">
      <c r="A1403" t="s">
        <v>1579</v>
      </c>
      <c r="B1403" s="2">
        <v>46155</v>
      </c>
      <c r="C1403" t="s">
        <v>625</v>
      </c>
      <c r="D1403" t="s">
        <v>15</v>
      </c>
      <c r="E1403" t="s">
        <v>59</v>
      </c>
      <c r="F1403" t="s">
        <v>17</v>
      </c>
      <c r="G1403">
        <v>2</v>
      </c>
      <c r="H1403" s="3">
        <v>11.95</v>
      </c>
      <c r="I1403" s="3">
        <v>23.9</v>
      </c>
      <c r="J1403" t="s">
        <v>32</v>
      </c>
      <c r="K1403">
        <v>13</v>
      </c>
      <c r="L1403">
        <v>21</v>
      </c>
      <c r="M1403" t="s">
        <v>19</v>
      </c>
      <c r="N1403">
        <f t="shared" si="42"/>
        <v>23.9</v>
      </c>
      <c r="O1403" t="b">
        <f t="shared" si="43"/>
        <v>1</v>
      </c>
    </row>
    <row r="1404" spans="1:15">
      <c r="A1404" t="s">
        <v>1580</v>
      </c>
      <c r="B1404" s="2">
        <v>46047</v>
      </c>
      <c r="C1404" t="s">
        <v>400</v>
      </c>
      <c r="D1404" t="s">
        <v>35</v>
      </c>
      <c r="E1404" t="s">
        <v>30</v>
      </c>
      <c r="F1404" t="s">
        <v>31</v>
      </c>
      <c r="G1404">
        <v>1</v>
      </c>
      <c r="H1404" s="3">
        <v>8.5</v>
      </c>
      <c r="I1404" s="3">
        <v>8.5</v>
      </c>
      <c r="J1404" t="s">
        <v>32</v>
      </c>
      <c r="K1404">
        <v>28</v>
      </c>
      <c r="L1404">
        <v>35</v>
      </c>
      <c r="M1404" t="s">
        <v>19</v>
      </c>
      <c r="N1404">
        <f t="shared" si="42"/>
        <v>8.5</v>
      </c>
      <c r="O1404" t="b">
        <f t="shared" si="43"/>
        <v>1</v>
      </c>
    </row>
    <row r="1405" spans="1:15">
      <c r="A1405" t="s">
        <v>1581</v>
      </c>
      <c r="B1405" s="2">
        <v>46274</v>
      </c>
      <c r="C1405" t="s">
        <v>326</v>
      </c>
      <c r="D1405" t="s">
        <v>15</v>
      </c>
      <c r="E1405" t="s">
        <v>39</v>
      </c>
      <c r="F1405" t="s">
        <v>17</v>
      </c>
      <c r="G1405">
        <v>2</v>
      </c>
      <c r="H1405" s="3">
        <v>12.95</v>
      </c>
      <c r="I1405" s="3">
        <v>25.9</v>
      </c>
      <c r="J1405" t="s">
        <v>53</v>
      </c>
      <c r="K1405">
        <v>3</v>
      </c>
      <c r="L1405">
        <v>15</v>
      </c>
      <c r="M1405" t="s">
        <v>19</v>
      </c>
      <c r="N1405">
        <f t="shared" si="42"/>
        <v>25.9</v>
      </c>
      <c r="O1405" t="b">
        <f t="shared" si="43"/>
        <v>1</v>
      </c>
    </row>
    <row r="1406" spans="1:15">
      <c r="A1406" t="s">
        <v>1582</v>
      </c>
      <c r="B1406" s="2">
        <v>46080</v>
      </c>
      <c r="C1406" t="s">
        <v>82</v>
      </c>
      <c r="D1406" t="s">
        <v>35</v>
      </c>
      <c r="E1406" t="s">
        <v>121</v>
      </c>
      <c r="F1406" t="s">
        <v>23</v>
      </c>
      <c r="G1406">
        <v>3</v>
      </c>
      <c r="H1406" s="3">
        <v>6.5</v>
      </c>
      <c r="I1406" s="3">
        <v>19.5</v>
      </c>
      <c r="J1406" t="s">
        <v>32</v>
      </c>
      <c r="K1406">
        <v>3</v>
      </c>
      <c r="L1406">
        <v>10</v>
      </c>
      <c r="M1406" t="s">
        <v>19</v>
      </c>
      <c r="N1406">
        <f t="shared" si="42"/>
        <v>19.5</v>
      </c>
      <c r="O1406" t="b">
        <f t="shared" si="43"/>
        <v>1</v>
      </c>
    </row>
    <row r="1407" spans="1:15">
      <c r="A1407" t="s">
        <v>1583</v>
      </c>
      <c r="B1407" s="2">
        <v>46243</v>
      </c>
      <c r="C1407" t="s">
        <v>171</v>
      </c>
      <c r="D1407" t="s">
        <v>35</v>
      </c>
      <c r="E1407" t="s">
        <v>50</v>
      </c>
      <c r="F1407" t="s">
        <v>17</v>
      </c>
      <c r="G1407">
        <v>2</v>
      </c>
      <c r="H1407" s="3">
        <v>14.5</v>
      </c>
      <c r="I1407" s="3">
        <v>29</v>
      </c>
      <c r="J1407" t="s">
        <v>18</v>
      </c>
      <c r="K1407">
        <v>6</v>
      </c>
      <c r="L1407">
        <v>16</v>
      </c>
      <c r="M1407" t="s">
        <v>19</v>
      </c>
      <c r="N1407">
        <f t="shared" si="42"/>
        <v>29</v>
      </c>
      <c r="O1407" t="b">
        <f t="shared" si="43"/>
        <v>1</v>
      </c>
    </row>
    <row r="1408" spans="1:15">
      <c r="A1408" t="s">
        <v>1584</v>
      </c>
      <c r="B1408" s="2">
        <v>46196</v>
      </c>
      <c r="C1408" t="s">
        <v>615</v>
      </c>
      <c r="D1408" t="s">
        <v>35</v>
      </c>
      <c r="E1408" t="s">
        <v>78</v>
      </c>
      <c r="F1408" t="s">
        <v>47</v>
      </c>
      <c r="G1408">
        <v>3</v>
      </c>
      <c r="H1408" s="3">
        <v>7.25</v>
      </c>
      <c r="I1408" s="3">
        <v>21.75</v>
      </c>
      <c r="J1408" t="s">
        <v>18</v>
      </c>
      <c r="K1408">
        <v>27</v>
      </c>
      <c r="L1408">
        <v>19</v>
      </c>
      <c r="M1408" t="s">
        <v>19</v>
      </c>
      <c r="N1408">
        <f t="shared" si="42"/>
        <v>21.75</v>
      </c>
      <c r="O1408" t="b">
        <f t="shared" si="43"/>
        <v>1</v>
      </c>
    </row>
    <row r="1409" spans="1:15">
      <c r="A1409" t="s">
        <v>1585</v>
      </c>
      <c r="B1409" s="2">
        <v>46027</v>
      </c>
      <c r="C1409" t="s">
        <v>150</v>
      </c>
      <c r="D1409" t="s">
        <v>15</v>
      </c>
      <c r="E1409" t="s">
        <v>41</v>
      </c>
      <c r="F1409" t="s">
        <v>31</v>
      </c>
      <c r="G1409">
        <v>2</v>
      </c>
      <c r="H1409" s="3">
        <v>5.5</v>
      </c>
      <c r="I1409" s="3">
        <v>11</v>
      </c>
      <c r="J1409" t="s">
        <v>32</v>
      </c>
      <c r="K1409">
        <v>22</v>
      </c>
      <c r="L1409">
        <v>15</v>
      </c>
      <c r="M1409" t="s">
        <v>19</v>
      </c>
      <c r="N1409">
        <f t="shared" si="42"/>
        <v>11</v>
      </c>
      <c r="O1409" t="b">
        <f t="shared" si="43"/>
        <v>1</v>
      </c>
    </row>
    <row r="1410" spans="1:15">
      <c r="A1410" t="s">
        <v>1586</v>
      </c>
      <c r="B1410" s="2">
        <v>46295</v>
      </c>
      <c r="C1410" t="s">
        <v>114</v>
      </c>
      <c r="D1410" t="s">
        <v>35</v>
      </c>
      <c r="E1410" t="s">
        <v>121</v>
      </c>
      <c r="F1410" t="s">
        <v>23</v>
      </c>
      <c r="G1410">
        <v>3</v>
      </c>
      <c r="H1410" s="3">
        <v>6.5</v>
      </c>
      <c r="I1410" s="3">
        <v>19.5</v>
      </c>
      <c r="J1410" t="s">
        <v>27</v>
      </c>
      <c r="K1410">
        <v>25</v>
      </c>
      <c r="L1410">
        <v>15</v>
      </c>
      <c r="M1410" t="s">
        <v>19</v>
      </c>
      <c r="N1410">
        <f t="shared" ref="N1410:N1473" si="44">G1410*H1410</f>
        <v>19.5</v>
      </c>
      <c r="O1410" t="b">
        <f t="shared" ref="O1410:O1473" si="45">OR(AND(M1410="Completed",I1410=N1410),AND(M1410="Refunded",ABS(I1410)=N1410),AND(M1410="Cancelled",I1410=0))</f>
        <v>1</v>
      </c>
    </row>
    <row r="1411" spans="1:15">
      <c r="A1411" t="s">
        <v>1587</v>
      </c>
      <c r="B1411" s="2">
        <v>46180</v>
      </c>
      <c r="C1411" t="s">
        <v>178</v>
      </c>
      <c r="D1411" t="s">
        <v>15</v>
      </c>
      <c r="E1411" t="s">
        <v>56</v>
      </c>
      <c r="F1411" t="s">
        <v>23</v>
      </c>
      <c r="G1411">
        <v>3</v>
      </c>
      <c r="H1411" s="3">
        <v>3.75</v>
      </c>
      <c r="I1411" s="3">
        <v>11.25</v>
      </c>
      <c r="J1411" t="s">
        <v>27</v>
      </c>
      <c r="K1411">
        <v>25</v>
      </c>
      <c r="L1411">
        <v>6</v>
      </c>
      <c r="M1411" t="s">
        <v>19</v>
      </c>
      <c r="N1411">
        <f t="shared" si="44"/>
        <v>11.25</v>
      </c>
      <c r="O1411" t="b">
        <f t="shared" si="45"/>
        <v>1</v>
      </c>
    </row>
    <row r="1412" spans="1:15">
      <c r="A1412" t="s">
        <v>1588</v>
      </c>
      <c r="B1412" s="2">
        <v>46201</v>
      </c>
      <c r="C1412" t="s">
        <v>118</v>
      </c>
      <c r="D1412" t="s">
        <v>35</v>
      </c>
      <c r="E1412" t="s">
        <v>16</v>
      </c>
      <c r="F1412" t="s">
        <v>17</v>
      </c>
      <c r="G1412">
        <v>2</v>
      </c>
      <c r="H1412" s="3">
        <v>9.9499999999999993</v>
      </c>
      <c r="I1412" s="3">
        <v>19.899999999999999</v>
      </c>
      <c r="J1412" t="s">
        <v>27</v>
      </c>
      <c r="K1412">
        <v>9</v>
      </c>
      <c r="L1412">
        <v>17</v>
      </c>
      <c r="M1412" t="s">
        <v>19</v>
      </c>
      <c r="N1412">
        <f t="shared" si="44"/>
        <v>19.899999999999999</v>
      </c>
      <c r="O1412" t="b">
        <f t="shared" si="45"/>
        <v>1</v>
      </c>
    </row>
    <row r="1413" spans="1:15">
      <c r="A1413" t="s">
        <v>1589</v>
      </c>
      <c r="B1413" s="2">
        <v>46134</v>
      </c>
      <c r="C1413" t="s">
        <v>142</v>
      </c>
      <c r="D1413" t="s">
        <v>35</v>
      </c>
      <c r="E1413" t="s">
        <v>96</v>
      </c>
      <c r="F1413" t="s">
        <v>47</v>
      </c>
      <c r="G1413">
        <v>1</v>
      </c>
      <c r="H1413" s="3">
        <v>5.75</v>
      </c>
      <c r="I1413" s="3">
        <v>5.75</v>
      </c>
      <c r="J1413" t="s">
        <v>18</v>
      </c>
      <c r="K1413">
        <v>1</v>
      </c>
      <c r="L1413">
        <v>25</v>
      </c>
      <c r="M1413" t="s">
        <v>19</v>
      </c>
      <c r="N1413">
        <f t="shared" si="44"/>
        <v>5.75</v>
      </c>
      <c r="O1413" t="b">
        <f t="shared" si="45"/>
        <v>1</v>
      </c>
    </row>
    <row r="1414" spans="1:15">
      <c r="A1414" t="s">
        <v>1590</v>
      </c>
      <c r="B1414" s="2">
        <v>46129</v>
      </c>
      <c r="C1414" t="s">
        <v>171</v>
      </c>
      <c r="D1414" t="s">
        <v>35</v>
      </c>
      <c r="E1414" t="s">
        <v>46</v>
      </c>
      <c r="F1414" t="s">
        <v>47</v>
      </c>
      <c r="G1414">
        <v>1</v>
      </c>
      <c r="H1414" s="3">
        <v>6.95</v>
      </c>
      <c r="I1414" s="3">
        <v>-6.95</v>
      </c>
      <c r="J1414" t="s">
        <v>53</v>
      </c>
      <c r="K1414">
        <v>3</v>
      </c>
      <c r="L1414">
        <v>11</v>
      </c>
      <c r="M1414" t="s">
        <v>62</v>
      </c>
      <c r="N1414">
        <f t="shared" si="44"/>
        <v>6.95</v>
      </c>
      <c r="O1414" t="b">
        <f t="shared" si="45"/>
        <v>1</v>
      </c>
    </row>
    <row r="1415" spans="1:15">
      <c r="A1415" t="s">
        <v>1591</v>
      </c>
      <c r="B1415" s="2">
        <v>46282</v>
      </c>
      <c r="C1415" t="s">
        <v>99</v>
      </c>
      <c r="D1415" t="s">
        <v>35</v>
      </c>
      <c r="E1415" t="s">
        <v>59</v>
      </c>
      <c r="F1415" t="s">
        <v>17</v>
      </c>
      <c r="G1415">
        <v>1</v>
      </c>
      <c r="H1415" s="3">
        <v>11.95</v>
      </c>
      <c r="I1415" s="3">
        <v>11.95</v>
      </c>
      <c r="J1415" t="s">
        <v>53</v>
      </c>
      <c r="K1415">
        <v>4</v>
      </c>
      <c r="L1415">
        <v>27</v>
      </c>
      <c r="M1415" t="s">
        <v>19</v>
      </c>
      <c r="N1415">
        <f t="shared" si="44"/>
        <v>11.95</v>
      </c>
      <c r="O1415" t="b">
        <f t="shared" si="45"/>
        <v>1</v>
      </c>
    </row>
    <row r="1416" spans="1:15">
      <c r="A1416" t="s">
        <v>1592</v>
      </c>
      <c r="B1416" s="2">
        <v>46206</v>
      </c>
      <c r="C1416" t="s">
        <v>173</v>
      </c>
      <c r="D1416" t="s">
        <v>35</v>
      </c>
      <c r="E1416" t="s">
        <v>70</v>
      </c>
      <c r="F1416" t="s">
        <v>17</v>
      </c>
      <c r="G1416">
        <v>1</v>
      </c>
      <c r="H1416" s="3">
        <v>12.5</v>
      </c>
      <c r="I1416" s="3">
        <v>12.5</v>
      </c>
      <c r="J1416" t="s">
        <v>18</v>
      </c>
      <c r="K1416">
        <v>9</v>
      </c>
      <c r="L1416">
        <v>21</v>
      </c>
      <c r="M1416" t="s">
        <v>19</v>
      </c>
      <c r="N1416">
        <f t="shared" si="44"/>
        <v>12.5</v>
      </c>
      <c r="O1416" t="b">
        <f t="shared" si="45"/>
        <v>1</v>
      </c>
    </row>
    <row r="1417" spans="1:15">
      <c r="A1417" t="s">
        <v>1593</v>
      </c>
      <c r="B1417" s="2">
        <v>46256</v>
      </c>
      <c r="C1417" t="s">
        <v>398</v>
      </c>
      <c r="D1417" t="s">
        <v>15</v>
      </c>
      <c r="E1417" t="s">
        <v>46</v>
      </c>
      <c r="F1417" t="s">
        <v>47</v>
      </c>
      <c r="G1417">
        <v>3</v>
      </c>
      <c r="H1417" s="3">
        <v>6.95</v>
      </c>
      <c r="I1417" s="3">
        <v>20.85</v>
      </c>
      <c r="J1417" t="s">
        <v>18</v>
      </c>
      <c r="K1417">
        <v>12</v>
      </c>
      <c r="L1417">
        <v>10</v>
      </c>
      <c r="M1417" t="s">
        <v>19</v>
      </c>
      <c r="N1417">
        <f t="shared" si="44"/>
        <v>20.85</v>
      </c>
      <c r="O1417" t="b">
        <f t="shared" si="45"/>
        <v>1</v>
      </c>
    </row>
    <row r="1418" spans="1:15">
      <c r="A1418" t="s">
        <v>1594</v>
      </c>
      <c r="B1418" s="2">
        <v>46181</v>
      </c>
      <c r="C1418" t="s">
        <v>137</v>
      </c>
      <c r="D1418" t="s">
        <v>35</v>
      </c>
      <c r="E1418" t="s">
        <v>126</v>
      </c>
      <c r="F1418" t="s">
        <v>31</v>
      </c>
      <c r="G1418">
        <v>1</v>
      </c>
      <c r="H1418" s="3">
        <v>7.95</v>
      </c>
      <c r="I1418" s="3">
        <v>7.95</v>
      </c>
      <c r="J1418" t="s">
        <v>53</v>
      </c>
      <c r="K1418">
        <v>13</v>
      </c>
      <c r="L1418">
        <v>27</v>
      </c>
      <c r="M1418" t="s">
        <v>19</v>
      </c>
      <c r="N1418">
        <f t="shared" si="44"/>
        <v>7.95</v>
      </c>
      <c r="O1418" t="b">
        <f t="shared" si="45"/>
        <v>1</v>
      </c>
    </row>
    <row r="1419" spans="1:15">
      <c r="A1419" t="s">
        <v>1595</v>
      </c>
      <c r="B1419" s="2">
        <v>46031</v>
      </c>
      <c r="C1419" t="s">
        <v>551</v>
      </c>
      <c r="D1419" t="s">
        <v>35</v>
      </c>
      <c r="E1419" t="s">
        <v>93</v>
      </c>
      <c r="F1419" t="s">
        <v>31</v>
      </c>
      <c r="G1419">
        <v>1</v>
      </c>
      <c r="H1419" s="3">
        <v>6.25</v>
      </c>
      <c r="I1419" s="3">
        <v>6.25</v>
      </c>
      <c r="J1419" t="s">
        <v>18</v>
      </c>
      <c r="K1419">
        <v>6</v>
      </c>
      <c r="L1419">
        <v>24</v>
      </c>
      <c r="M1419" t="s">
        <v>19</v>
      </c>
      <c r="N1419">
        <f t="shared" si="44"/>
        <v>6.25</v>
      </c>
      <c r="O1419" t="b">
        <f t="shared" si="45"/>
        <v>1</v>
      </c>
    </row>
    <row r="1420" spans="1:15">
      <c r="A1420" t="s">
        <v>1596</v>
      </c>
      <c r="B1420" s="2">
        <v>46088</v>
      </c>
      <c r="C1420" t="s">
        <v>448</v>
      </c>
      <c r="D1420" t="s">
        <v>35</v>
      </c>
      <c r="E1420" t="s">
        <v>103</v>
      </c>
      <c r="F1420" t="s">
        <v>23</v>
      </c>
      <c r="G1420">
        <v>2</v>
      </c>
      <c r="H1420" s="3">
        <v>3.25</v>
      </c>
      <c r="I1420" s="3">
        <v>6.5</v>
      </c>
      <c r="J1420" t="s">
        <v>18</v>
      </c>
      <c r="K1420">
        <v>24</v>
      </c>
      <c r="L1420">
        <v>9</v>
      </c>
      <c r="M1420" t="s">
        <v>19</v>
      </c>
      <c r="N1420">
        <f t="shared" si="44"/>
        <v>6.5</v>
      </c>
      <c r="O1420" t="b">
        <f t="shared" si="45"/>
        <v>1</v>
      </c>
    </row>
    <row r="1421" spans="1:15">
      <c r="A1421" t="s">
        <v>1597</v>
      </c>
      <c r="B1421" s="2">
        <v>46213</v>
      </c>
      <c r="C1421" t="s">
        <v>91</v>
      </c>
      <c r="D1421" t="s">
        <v>35</v>
      </c>
      <c r="E1421" t="s">
        <v>106</v>
      </c>
      <c r="F1421" t="s">
        <v>17</v>
      </c>
      <c r="G1421">
        <v>1</v>
      </c>
      <c r="H1421" s="3">
        <v>15.95</v>
      </c>
      <c r="I1421" s="3">
        <v>15.95</v>
      </c>
      <c r="J1421" t="s">
        <v>18</v>
      </c>
      <c r="K1421">
        <v>5</v>
      </c>
      <c r="L1421">
        <v>17</v>
      </c>
      <c r="M1421" t="s">
        <v>19</v>
      </c>
      <c r="N1421">
        <f t="shared" si="44"/>
        <v>15.95</v>
      </c>
      <c r="O1421" t="b">
        <f t="shared" si="45"/>
        <v>1</v>
      </c>
    </row>
    <row r="1422" spans="1:15">
      <c r="A1422" t="s">
        <v>1598</v>
      </c>
      <c r="B1422" s="2">
        <v>46115</v>
      </c>
      <c r="C1422" t="s">
        <v>625</v>
      </c>
      <c r="D1422" t="s">
        <v>15</v>
      </c>
      <c r="E1422" t="s">
        <v>26</v>
      </c>
      <c r="F1422" t="s">
        <v>17</v>
      </c>
      <c r="G1422">
        <v>1</v>
      </c>
      <c r="H1422" s="3">
        <v>11.5</v>
      </c>
      <c r="I1422" s="3">
        <v>11.5</v>
      </c>
      <c r="J1422" t="s">
        <v>27</v>
      </c>
      <c r="K1422">
        <v>27</v>
      </c>
      <c r="L1422">
        <v>11</v>
      </c>
      <c r="M1422" t="s">
        <v>19</v>
      </c>
      <c r="N1422">
        <f t="shared" si="44"/>
        <v>11.5</v>
      </c>
      <c r="O1422" t="b">
        <f t="shared" si="45"/>
        <v>1</v>
      </c>
    </row>
    <row r="1423" spans="1:15">
      <c r="A1423" t="s">
        <v>1599</v>
      </c>
      <c r="B1423" s="2">
        <v>46187</v>
      </c>
      <c r="C1423" t="s">
        <v>45</v>
      </c>
      <c r="D1423" t="s">
        <v>15</v>
      </c>
      <c r="E1423" t="s">
        <v>26</v>
      </c>
      <c r="F1423" t="s">
        <v>17</v>
      </c>
      <c r="G1423">
        <v>3</v>
      </c>
      <c r="H1423" s="3">
        <v>11.5</v>
      </c>
      <c r="I1423" s="3">
        <v>34.5</v>
      </c>
      <c r="J1423" t="s">
        <v>53</v>
      </c>
      <c r="K1423">
        <v>24</v>
      </c>
      <c r="L1423">
        <v>19</v>
      </c>
      <c r="M1423" t="s">
        <v>19</v>
      </c>
      <c r="N1423">
        <f t="shared" si="44"/>
        <v>34.5</v>
      </c>
      <c r="O1423" t="b">
        <f t="shared" si="45"/>
        <v>1</v>
      </c>
    </row>
    <row r="1424" spans="1:15">
      <c r="A1424" t="s">
        <v>1600</v>
      </c>
      <c r="B1424" s="2">
        <v>46231</v>
      </c>
      <c r="C1424" t="s">
        <v>307</v>
      </c>
      <c r="D1424" t="s">
        <v>15</v>
      </c>
      <c r="E1424" t="s">
        <v>22</v>
      </c>
      <c r="F1424" t="s">
        <v>23</v>
      </c>
      <c r="G1424">
        <v>1</v>
      </c>
      <c r="H1424" s="3">
        <v>3.1</v>
      </c>
      <c r="I1424" s="3">
        <v>3.1</v>
      </c>
      <c r="J1424" t="s">
        <v>18</v>
      </c>
      <c r="K1424">
        <v>3</v>
      </c>
      <c r="L1424">
        <v>21</v>
      </c>
      <c r="M1424" t="s">
        <v>19</v>
      </c>
      <c r="N1424">
        <f t="shared" si="44"/>
        <v>3.1</v>
      </c>
      <c r="O1424" t="b">
        <f t="shared" si="45"/>
        <v>1</v>
      </c>
    </row>
    <row r="1425" spans="1:15">
      <c r="A1425" t="s">
        <v>1601</v>
      </c>
      <c r="B1425" s="2">
        <v>46056</v>
      </c>
      <c r="C1425" t="s">
        <v>385</v>
      </c>
      <c r="D1425" t="s">
        <v>15</v>
      </c>
      <c r="E1425" t="s">
        <v>78</v>
      </c>
      <c r="F1425" t="s">
        <v>47</v>
      </c>
      <c r="G1425">
        <v>2</v>
      </c>
      <c r="H1425" s="3">
        <v>7.25</v>
      </c>
      <c r="I1425" s="3">
        <v>14.5</v>
      </c>
      <c r="J1425" t="s">
        <v>27</v>
      </c>
      <c r="K1425">
        <v>15</v>
      </c>
      <c r="L1425">
        <v>17</v>
      </c>
      <c r="M1425" t="s">
        <v>19</v>
      </c>
      <c r="N1425">
        <f t="shared" si="44"/>
        <v>14.5</v>
      </c>
      <c r="O1425" t="b">
        <f t="shared" si="45"/>
        <v>1</v>
      </c>
    </row>
    <row r="1426" spans="1:15">
      <c r="A1426" t="s">
        <v>1602</v>
      </c>
      <c r="B1426" s="2">
        <v>46023</v>
      </c>
      <c r="C1426" t="s">
        <v>43</v>
      </c>
      <c r="D1426" t="s">
        <v>15</v>
      </c>
      <c r="E1426" t="s">
        <v>50</v>
      </c>
      <c r="F1426" t="s">
        <v>17</v>
      </c>
      <c r="G1426">
        <v>1</v>
      </c>
      <c r="H1426" s="3">
        <v>14.5</v>
      </c>
      <c r="I1426" s="3">
        <v>14.5</v>
      </c>
      <c r="J1426" t="s">
        <v>27</v>
      </c>
      <c r="K1426">
        <v>23</v>
      </c>
      <c r="L1426">
        <v>10</v>
      </c>
      <c r="M1426" t="s">
        <v>19</v>
      </c>
      <c r="N1426">
        <f t="shared" si="44"/>
        <v>14.5</v>
      </c>
      <c r="O1426" t="b">
        <f t="shared" si="45"/>
        <v>1</v>
      </c>
    </row>
    <row r="1427" spans="1:15">
      <c r="A1427" t="s">
        <v>1603</v>
      </c>
      <c r="B1427" s="2">
        <v>46275</v>
      </c>
      <c r="C1427" t="s">
        <v>156</v>
      </c>
      <c r="D1427" t="s">
        <v>35</v>
      </c>
      <c r="E1427" t="s">
        <v>50</v>
      </c>
      <c r="F1427" t="s">
        <v>17</v>
      </c>
      <c r="G1427">
        <v>1</v>
      </c>
      <c r="H1427" s="3">
        <v>14.5</v>
      </c>
      <c r="I1427" s="3">
        <v>14.5</v>
      </c>
      <c r="J1427" t="s">
        <v>53</v>
      </c>
      <c r="K1427">
        <v>26</v>
      </c>
      <c r="L1427">
        <v>26</v>
      </c>
      <c r="M1427" t="s">
        <v>19</v>
      </c>
      <c r="N1427">
        <f t="shared" si="44"/>
        <v>14.5</v>
      </c>
      <c r="O1427" t="b">
        <f t="shared" si="45"/>
        <v>1</v>
      </c>
    </row>
    <row r="1428" spans="1:15">
      <c r="A1428" t="s">
        <v>1604</v>
      </c>
      <c r="B1428" s="2">
        <v>46138</v>
      </c>
      <c r="C1428" t="s">
        <v>279</v>
      </c>
      <c r="D1428" t="s">
        <v>35</v>
      </c>
      <c r="E1428" t="s">
        <v>46</v>
      </c>
      <c r="F1428" t="s">
        <v>47</v>
      </c>
      <c r="G1428">
        <v>1</v>
      </c>
      <c r="H1428" s="3">
        <v>6.95</v>
      </c>
      <c r="I1428" s="3">
        <v>6.95</v>
      </c>
      <c r="J1428" t="s">
        <v>18</v>
      </c>
      <c r="K1428">
        <v>6</v>
      </c>
      <c r="L1428">
        <v>23</v>
      </c>
      <c r="M1428" t="s">
        <v>19</v>
      </c>
      <c r="N1428">
        <f t="shared" si="44"/>
        <v>6.95</v>
      </c>
      <c r="O1428" t="b">
        <f t="shared" si="45"/>
        <v>1</v>
      </c>
    </row>
    <row r="1429" spans="1:15">
      <c r="A1429" t="s">
        <v>1605</v>
      </c>
      <c r="B1429" s="2">
        <v>46177</v>
      </c>
      <c r="C1429" t="s">
        <v>128</v>
      </c>
      <c r="D1429" t="s">
        <v>15</v>
      </c>
      <c r="E1429" t="s">
        <v>121</v>
      </c>
      <c r="F1429" t="s">
        <v>23</v>
      </c>
      <c r="G1429">
        <v>1</v>
      </c>
      <c r="H1429" s="3">
        <v>6.5</v>
      </c>
      <c r="I1429" s="3">
        <v>6.5</v>
      </c>
      <c r="J1429" t="s">
        <v>27</v>
      </c>
      <c r="K1429">
        <v>29</v>
      </c>
      <c r="L1429">
        <v>11</v>
      </c>
      <c r="M1429" t="s">
        <v>19</v>
      </c>
      <c r="N1429">
        <f t="shared" si="44"/>
        <v>6.5</v>
      </c>
      <c r="O1429" t="b">
        <f t="shared" si="45"/>
        <v>1</v>
      </c>
    </row>
    <row r="1430" spans="1:15">
      <c r="A1430" t="s">
        <v>1606</v>
      </c>
      <c r="B1430" s="2">
        <v>46090</v>
      </c>
      <c r="C1430" t="s">
        <v>326</v>
      </c>
      <c r="D1430" t="s">
        <v>15</v>
      </c>
      <c r="E1430" t="s">
        <v>50</v>
      </c>
      <c r="F1430" t="s">
        <v>17</v>
      </c>
      <c r="G1430">
        <v>1</v>
      </c>
      <c r="H1430" s="3">
        <v>14.5</v>
      </c>
      <c r="I1430" s="3">
        <v>14.5</v>
      </c>
      <c r="J1430" t="s">
        <v>27</v>
      </c>
      <c r="K1430">
        <v>21</v>
      </c>
      <c r="L1430">
        <v>15</v>
      </c>
      <c r="M1430" t="s">
        <v>19</v>
      </c>
      <c r="N1430">
        <f t="shared" si="44"/>
        <v>14.5</v>
      </c>
      <c r="O1430" t="b">
        <f t="shared" si="45"/>
        <v>1</v>
      </c>
    </row>
    <row r="1431" spans="1:15">
      <c r="A1431" t="s">
        <v>1607</v>
      </c>
      <c r="B1431" s="2">
        <v>46124</v>
      </c>
      <c r="C1431" t="s">
        <v>142</v>
      </c>
      <c r="D1431" t="s">
        <v>35</v>
      </c>
      <c r="E1431" t="s">
        <v>83</v>
      </c>
      <c r="F1431" t="s">
        <v>17</v>
      </c>
      <c r="G1431">
        <v>2</v>
      </c>
      <c r="H1431" s="3">
        <v>13.5</v>
      </c>
      <c r="I1431" s="3">
        <v>27</v>
      </c>
      <c r="J1431" t="s">
        <v>18</v>
      </c>
      <c r="K1431">
        <v>6</v>
      </c>
      <c r="L1431">
        <v>9</v>
      </c>
      <c r="M1431" t="s">
        <v>19</v>
      </c>
      <c r="N1431">
        <f t="shared" si="44"/>
        <v>27</v>
      </c>
      <c r="O1431" t="b">
        <f t="shared" si="45"/>
        <v>1</v>
      </c>
    </row>
    <row r="1432" spans="1:15">
      <c r="A1432" t="s">
        <v>1608</v>
      </c>
      <c r="B1432" s="2">
        <v>46028</v>
      </c>
      <c r="C1432" t="s">
        <v>180</v>
      </c>
      <c r="D1432" t="s">
        <v>35</v>
      </c>
      <c r="E1432" t="s">
        <v>70</v>
      </c>
      <c r="F1432" t="s">
        <v>17</v>
      </c>
      <c r="G1432">
        <v>2</v>
      </c>
      <c r="H1432" s="3">
        <v>12.5</v>
      </c>
      <c r="I1432" s="3">
        <v>25</v>
      </c>
      <c r="J1432" t="s">
        <v>18</v>
      </c>
      <c r="K1432">
        <v>15</v>
      </c>
      <c r="L1432">
        <v>5</v>
      </c>
      <c r="M1432" t="s">
        <v>19</v>
      </c>
      <c r="N1432">
        <f t="shared" si="44"/>
        <v>25</v>
      </c>
      <c r="O1432" t="b">
        <f t="shared" si="45"/>
        <v>1</v>
      </c>
    </row>
    <row r="1433" spans="1:15">
      <c r="A1433" t="s">
        <v>1609</v>
      </c>
      <c r="B1433" s="2">
        <v>46248</v>
      </c>
      <c r="C1433" t="s">
        <v>326</v>
      </c>
      <c r="D1433" t="s">
        <v>15</v>
      </c>
      <c r="E1433" t="s">
        <v>22</v>
      </c>
      <c r="F1433" t="s">
        <v>23</v>
      </c>
      <c r="G1433">
        <v>3</v>
      </c>
      <c r="H1433" s="3">
        <v>3.1</v>
      </c>
      <c r="I1433" s="3">
        <v>9.3000000000000007</v>
      </c>
      <c r="J1433" t="s">
        <v>27</v>
      </c>
      <c r="K1433">
        <v>29</v>
      </c>
      <c r="L1433">
        <v>19</v>
      </c>
      <c r="M1433" t="s">
        <v>19</v>
      </c>
      <c r="N1433">
        <f t="shared" si="44"/>
        <v>9.3000000000000007</v>
      </c>
      <c r="O1433" t="b">
        <f t="shared" si="45"/>
        <v>1</v>
      </c>
    </row>
    <row r="1434" spans="1:15">
      <c r="A1434" t="s">
        <v>1610</v>
      </c>
      <c r="B1434" s="2">
        <v>46197</v>
      </c>
      <c r="C1434" t="s">
        <v>208</v>
      </c>
      <c r="D1434" t="s">
        <v>35</v>
      </c>
      <c r="E1434" t="s">
        <v>96</v>
      </c>
      <c r="F1434" t="s">
        <v>47</v>
      </c>
      <c r="G1434">
        <v>2</v>
      </c>
      <c r="H1434" s="3">
        <v>5.75</v>
      </c>
      <c r="I1434" s="3">
        <v>11.5</v>
      </c>
      <c r="J1434" t="s">
        <v>27</v>
      </c>
      <c r="K1434">
        <v>9</v>
      </c>
      <c r="L1434">
        <v>26</v>
      </c>
      <c r="M1434" t="s">
        <v>19</v>
      </c>
      <c r="N1434">
        <f t="shared" si="44"/>
        <v>11.5</v>
      </c>
      <c r="O1434" t="b">
        <f t="shared" si="45"/>
        <v>1</v>
      </c>
    </row>
    <row r="1435" spans="1:15">
      <c r="A1435" t="s">
        <v>1611</v>
      </c>
      <c r="B1435" s="2">
        <v>46210</v>
      </c>
      <c r="C1435" t="s">
        <v>400</v>
      </c>
      <c r="D1435" t="s">
        <v>35</v>
      </c>
      <c r="E1435" t="s">
        <v>50</v>
      </c>
      <c r="F1435" t="s">
        <v>17</v>
      </c>
      <c r="G1435">
        <v>1</v>
      </c>
      <c r="H1435" s="3">
        <v>14.5</v>
      </c>
      <c r="I1435" s="3">
        <v>14.5</v>
      </c>
      <c r="J1435" t="s">
        <v>27</v>
      </c>
      <c r="K1435">
        <v>27</v>
      </c>
      <c r="L1435">
        <v>11</v>
      </c>
      <c r="M1435" t="s">
        <v>19</v>
      </c>
      <c r="N1435">
        <f t="shared" si="44"/>
        <v>14.5</v>
      </c>
      <c r="O1435" t="b">
        <f t="shared" si="45"/>
        <v>1</v>
      </c>
    </row>
    <row r="1436" spans="1:15">
      <c r="A1436" t="s">
        <v>1612</v>
      </c>
      <c r="B1436" s="2">
        <v>46174</v>
      </c>
      <c r="C1436" t="s">
        <v>465</v>
      </c>
      <c r="D1436" t="s">
        <v>15</v>
      </c>
      <c r="E1436" t="s">
        <v>96</v>
      </c>
      <c r="F1436" t="s">
        <v>47</v>
      </c>
      <c r="G1436">
        <v>1</v>
      </c>
      <c r="H1436" s="3">
        <v>5.75</v>
      </c>
      <c r="I1436" s="3">
        <v>5.75</v>
      </c>
      <c r="J1436" t="s">
        <v>18</v>
      </c>
      <c r="K1436">
        <v>6</v>
      </c>
      <c r="L1436">
        <v>31</v>
      </c>
      <c r="M1436" t="s">
        <v>19</v>
      </c>
      <c r="N1436">
        <f t="shared" si="44"/>
        <v>5.75</v>
      </c>
      <c r="O1436" t="b">
        <f t="shared" si="45"/>
        <v>1</v>
      </c>
    </row>
    <row r="1437" spans="1:15">
      <c r="A1437" t="s">
        <v>1613</v>
      </c>
      <c r="B1437" s="2">
        <v>46284</v>
      </c>
      <c r="C1437" t="s">
        <v>355</v>
      </c>
      <c r="D1437" t="s">
        <v>15</v>
      </c>
      <c r="E1437" t="s">
        <v>70</v>
      </c>
      <c r="F1437" t="s">
        <v>17</v>
      </c>
      <c r="G1437">
        <v>2</v>
      </c>
      <c r="H1437" s="3">
        <v>12.5</v>
      </c>
      <c r="I1437" s="3">
        <v>25</v>
      </c>
      <c r="J1437" t="s">
        <v>18</v>
      </c>
      <c r="K1437">
        <v>17</v>
      </c>
      <c r="L1437">
        <v>12</v>
      </c>
      <c r="M1437" t="s">
        <v>19</v>
      </c>
      <c r="N1437">
        <f t="shared" si="44"/>
        <v>25</v>
      </c>
      <c r="O1437" t="b">
        <f t="shared" si="45"/>
        <v>1</v>
      </c>
    </row>
    <row r="1438" spans="1:15">
      <c r="A1438" t="s">
        <v>1614</v>
      </c>
      <c r="B1438" s="2">
        <v>46100</v>
      </c>
      <c r="C1438" t="s">
        <v>254</v>
      </c>
      <c r="D1438" t="s">
        <v>35</v>
      </c>
      <c r="E1438" t="s">
        <v>83</v>
      </c>
      <c r="F1438" t="s">
        <v>17</v>
      </c>
      <c r="G1438">
        <v>2</v>
      </c>
      <c r="H1438" s="3">
        <v>13.5</v>
      </c>
      <c r="I1438" s="3">
        <v>27</v>
      </c>
      <c r="J1438" t="s">
        <v>27</v>
      </c>
      <c r="K1438">
        <v>17</v>
      </c>
      <c r="L1438">
        <v>11</v>
      </c>
      <c r="M1438" t="s">
        <v>19</v>
      </c>
      <c r="N1438">
        <f t="shared" si="44"/>
        <v>27</v>
      </c>
      <c r="O1438" t="b">
        <f t="shared" si="45"/>
        <v>1</v>
      </c>
    </row>
    <row r="1439" spans="1:15">
      <c r="A1439" t="s">
        <v>1615</v>
      </c>
      <c r="B1439" s="2">
        <v>46104</v>
      </c>
      <c r="C1439" t="s">
        <v>395</v>
      </c>
      <c r="D1439" t="s">
        <v>15</v>
      </c>
      <c r="E1439" t="s">
        <v>56</v>
      </c>
      <c r="F1439" t="s">
        <v>23</v>
      </c>
      <c r="G1439">
        <v>1</v>
      </c>
      <c r="H1439" s="3">
        <v>3.75</v>
      </c>
      <c r="I1439" s="3">
        <v>0</v>
      </c>
      <c r="J1439" t="s">
        <v>27</v>
      </c>
      <c r="K1439">
        <v>23</v>
      </c>
      <c r="L1439">
        <v>6</v>
      </c>
      <c r="M1439" t="s">
        <v>152</v>
      </c>
      <c r="N1439">
        <f t="shared" si="44"/>
        <v>3.75</v>
      </c>
      <c r="O1439" t="b">
        <f t="shared" si="45"/>
        <v>1</v>
      </c>
    </row>
    <row r="1440" spans="1:15">
      <c r="A1440" t="s">
        <v>1616</v>
      </c>
      <c r="B1440" s="2">
        <v>46240</v>
      </c>
      <c r="C1440" t="s">
        <v>263</v>
      </c>
      <c r="D1440" t="s">
        <v>35</v>
      </c>
      <c r="E1440" t="s">
        <v>46</v>
      </c>
      <c r="F1440" t="s">
        <v>47</v>
      </c>
      <c r="G1440">
        <v>1</v>
      </c>
      <c r="H1440" s="3">
        <v>6.95</v>
      </c>
      <c r="I1440" s="3">
        <v>6.95</v>
      </c>
      <c r="J1440" t="s">
        <v>27</v>
      </c>
      <c r="K1440">
        <v>15</v>
      </c>
      <c r="L1440">
        <v>32</v>
      </c>
      <c r="M1440" t="s">
        <v>19</v>
      </c>
      <c r="N1440">
        <f t="shared" si="44"/>
        <v>6.95</v>
      </c>
      <c r="O1440" t="b">
        <f t="shared" si="45"/>
        <v>1</v>
      </c>
    </row>
    <row r="1441" spans="1:15">
      <c r="A1441" t="s">
        <v>1617</v>
      </c>
      <c r="B1441" s="2">
        <v>46176</v>
      </c>
      <c r="C1441" t="s">
        <v>328</v>
      </c>
      <c r="D1441" t="s">
        <v>15</v>
      </c>
      <c r="E1441" t="s">
        <v>36</v>
      </c>
      <c r="F1441" t="s">
        <v>23</v>
      </c>
      <c r="G1441">
        <v>2</v>
      </c>
      <c r="H1441" s="3">
        <v>2.8</v>
      </c>
      <c r="I1441" s="3">
        <v>5.6</v>
      </c>
      <c r="J1441" t="s">
        <v>18</v>
      </c>
      <c r="K1441">
        <v>30</v>
      </c>
      <c r="L1441">
        <v>6</v>
      </c>
      <c r="M1441" t="s">
        <v>19</v>
      </c>
      <c r="N1441">
        <f t="shared" si="44"/>
        <v>5.6</v>
      </c>
      <c r="O1441" t="b">
        <f t="shared" si="45"/>
        <v>1</v>
      </c>
    </row>
    <row r="1442" spans="1:15">
      <c r="A1442" t="s">
        <v>1618</v>
      </c>
      <c r="B1442" s="2">
        <v>46057</v>
      </c>
      <c r="C1442" t="s">
        <v>150</v>
      </c>
      <c r="D1442" t="s">
        <v>15</v>
      </c>
      <c r="E1442" t="s">
        <v>50</v>
      </c>
      <c r="F1442" t="s">
        <v>17</v>
      </c>
      <c r="G1442">
        <v>1</v>
      </c>
      <c r="H1442" s="3">
        <v>14.5</v>
      </c>
      <c r="I1442" s="3">
        <v>14.5</v>
      </c>
      <c r="J1442" t="s">
        <v>18</v>
      </c>
      <c r="K1442">
        <v>8</v>
      </c>
      <c r="L1442">
        <v>16</v>
      </c>
      <c r="M1442" t="s">
        <v>19</v>
      </c>
      <c r="N1442">
        <f t="shared" si="44"/>
        <v>14.5</v>
      </c>
      <c r="O1442" t="b">
        <f t="shared" si="45"/>
        <v>1</v>
      </c>
    </row>
    <row r="1443" spans="1:15">
      <c r="A1443" t="s">
        <v>1619</v>
      </c>
      <c r="B1443" s="2">
        <v>46104</v>
      </c>
      <c r="C1443" t="s">
        <v>52</v>
      </c>
      <c r="D1443" t="s">
        <v>35</v>
      </c>
      <c r="E1443" t="s">
        <v>70</v>
      </c>
      <c r="F1443" t="s">
        <v>17</v>
      </c>
      <c r="G1443">
        <v>1</v>
      </c>
      <c r="H1443" s="3">
        <v>12.5</v>
      </c>
      <c r="I1443" s="3">
        <v>12.5</v>
      </c>
      <c r="J1443" t="s">
        <v>27</v>
      </c>
      <c r="K1443">
        <v>3</v>
      </c>
      <c r="L1443">
        <v>9</v>
      </c>
      <c r="M1443" t="s">
        <v>19</v>
      </c>
      <c r="N1443">
        <f t="shared" si="44"/>
        <v>12.5</v>
      </c>
      <c r="O1443" t="b">
        <f t="shared" si="45"/>
        <v>1</v>
      </c>
    </row>
    <row r="1444" spans="1:15">
      <c r="A1444" t="s">
        <v>1620</v>
      </c>
      <c r="B1444" s="2">
        <v>46164</v>
      </c>
      <c r="C1444" t="s">
        <v>29</v>
      </c>
      <c r="D1444" t="s">
        <v>15</v>
      </c>
      <c r="E1444" t="s">
        <v>121</v>
      </c>
      <c r="F1444" t="s">
        <v>23</v>
      </c>
      <c r="G1444">
        <v>3</v>
      </c>
      <c r="H1444" s="3">
        <v>6.5</v>
      </c>
      <c r="I1444" s="3">
        <v>19.5</v>
      </c>
      <c r="J1444" t="s">
        <v>32</v>
      </c>
      <c r="K1444">
        <v>9</v>
      </c>
      <c r="L1444">
        <v>9</v>
      </c>
      <c r="M1444" t="s">
        <v>19</v>
      </c>
      <c r="N1444">
        <f t="shared" si="44"/>
        <v>19.5</v>
      </c>
      <c r="O1444" t="b">
        <f t="shared" si="45"/>
        <v>1</v>
      </c>
    </row>
    <row r="1445" spans="1:15">
      <c r="A1445" t="s">
        <v>1621</v>
      </c>
      <c r="B1445" s="2">
        <v>46028</v>
      </c>
      <c r="C1445" t="s">
        <v>189</v>
      </c>
      <c r="D1445" t="s">
        <v>35</v>
      </c>
      <c r="E1445" t="s">
        <v>22</v>
      </c>
      <c r="F1445" t="s">
        <v>23</v>
      </c>
      <c r="G1445">
        <v>1</v>
      </c>
      <c r="H1445" s="3">
        <v>3.1</v>
      </c>
      <c r="I1445" s="3">
        <v>3.1</v>
      </c>
      <c r="J1445" t="s">
        <v>18</v>
      </c>
      <c r="K1445">
        <v>20</v>
      </c>
      <c r="L1445">
        <v>16</v>
      </c>
      <c r="M1445" t="s">
        <v>19</v>
      </c>
      <c r="N1445">
        <f t="shared" si="44"/>
        <v>3.1</v>
      </c>
      <c r="O1445" t="b">
        <f t="shared" si="45"/>
        <v>1</v>
      </c>
    </row>
    <row r="1446" spans="1:15">
      <c r="A1446" t="s">
        <v>1622</v>
      </c>
      <c r="B1446" s="2">
        <v>46247</v>
      </c>
      <c r="C1446" t="s">
        <v>178</v>
      </c>
      <c r="D1446" t="s">
        <v>15</v>
      </c>
      <c r="E1446" t="s">
        <v>56</v>
      </c>
      <c r="F1446" t="s">
        <v>23</v>
      </c>
      <c r="G1446">
        <v>1</v>
      </c>
      <c r="H1446" s="3">
        <v>3.75</v>
      </c>
      <c r="I1446" s="3">
        <v>3.75</v>
      </c>
      <c r="J1446" t="s">
        <v>27</v>
      </c>
      <c r="K1446">
        <v>24</v>
      </c>
      <c r="L1446">
        <v>16</v>
      </c>
      <c r="M1446" t="s">
        <v>19</v>
      </c>
      <c r="N1446">
        <f t="shared" si="44"/>
        <v>3.75</v>
      </c>
      <c r="O1446" t="b">
        <f t="shared" si="45"/>
        <v>1</v>
      </c>
    </row>
    <row r="1447" spans="1:15">
      <c r="A1447" t="s">
        <v>1623</v>
      </c>
      <c r="B1447" s="2">
        <v>46162</v>
      </c>
      <c r="C1447" t="s">
        <v>297</v>
      </c>
      <c r="D1447" t="s">
        <v>35</v>
      </c>
      <c r="E1447" t="s">
        <v>41</v>
      </c>
      <c r="F1447" t="s">
        <v>31</v>
      </c>
      <c r="G1447">
        <v>1</v>
      </c>
      <c r="H1447" s="3">
        <v>5.5</v>
      </c>
      <c r="I1447" s="3">
        <v>5.5</v>
      </c>
      <c r="J1447" t="s">
        <v>18</v>
      </c>
      <c r="K1447">
        <v>14</v>
      </c>
      <c r="L1447">
        <v>13</v>
      </c>
      <c r="M1447" t="s">
        <v>19</v>
      </c>
      <c r="N1447">
        <f t="shared" si="44"/>
        <v>5.5</v>
      </c>
      <c r="O1447" t="b">
        <f t="shared" si="45"/>
        <v>1</v>
      </c>
    </row>
    <row r="1448" spans="1:15">
      <c r="A1448" t="s">
        <v>1624</v>
      </c>
      <c r="B1448" s="2">
        <v>46272</v>
      </c>
      <c r="C1448" t="s">
        <v>75</v>
      </c>
      <c r="D1448" t="s">
        <v>35</v>
      </c>
      <c r="E1448" t="s">
        <v>59</v>
      </c>
      <c r="F1448" t="s">
        <v>17</v>
      </c>
      <c r="G1448">
        <v>1</v>
      </c>
      <c r="H1448" s="3">
        <v>11.95</v>
      </c>
      <c r="I1448" s="3">
        <v>11.95</v>
      </c>
      <c r="J1448" t="s">
        <v>27</v>
      </c>
      <c r="K1448">
        <v>12</v>
      </c>
      <c r="L1448">
        <v>13</v>
      </c>
      <c r="M1448" t="s">
        <v>19</v>
      </c>
      <c r="N1448">
        <f t="shared" si="44"/>
        <v>11.95</v>
      </c>
      <c r="O1448" t="b">
        <f t="shared" si="45"/>
        <v>1</v>
      </c>
    </row>
    <row r="1449" spans="1:15">
      <c r="A1449" t="s">
        <v>1625</v>
      </c>
      <c r="B1449" s="2">
        <v>46276</v>
      </c>
      <c r="C1449" t="s">
        <v>212</v>
      </c>
      <c r="D1449" t="s">
        <v>35</v>
      </c>
      <c r="E1449" t="s">
        <v>83</v>
      </c>
      <c r="F1449" t="s">
        <v>17</v>
      </c>
      <c r="G1449">
        <v>2</v>
      </c>
      <c r="H1449" s="3">
        <v>13.5</v>
      </c>
      <c r="I1449" s="3">
        <v>-27</v>
      </c>
      <c r="J1449" t="s">
        <v>32</v>
      </c>
      <c r="K1449">
        <v>9</v>
      </c>
      <c r="L1449">
        <v>15</v>
      </c>
      <c r="M1449" t="s">
        <v>62</v>
      </c>
      <c r="N1449">
        <f t="shared" si="44"/>
        <v>27</v>
      </c>
      <c r="O1449" t="b">
        <f t="shared" si="45"/>
        <v>1</v>
      </c>
    </row>
    <row r="1450" spans="1:15">
      <c r="A1450" t="s">
        <v>1626</v>
      </c>
      <c r="B1450" s="2">
        <v>46164</v>
      </c>
      <c r="C1450" t="s">
        <v>99</v>
      </c>
      <c r="D1450" t="s">
        <v>35</v>
      </c>
      <c r="E1450" t="s">
        <v>93</v>
      </c>
      <c r="F1450" t="s">
        <v>31</v>
      </c>
      <c r="G1450">
        <v>1</v>
      </c>
      <c r="H1450" s="3">
        <v>6.25</v>
      </c>
      <c r="I1450" s="3">
        <v>6.25</v>
      </c>
      <c r="J1450" t="s">
        <v>18</v>
      </c>
      <c r="K1450">
        <v>4</v>
      </c>
      <c r="L1450">
        <v>22</v>
      </c>
      <c r="M1450" t="s">
        <v>19</v>
      </c>
      <c r="N1450">
        <f t="shared" si="44"/>
        <v>6.25</v>
      </c>
      <c r="O1450" t="b">
        <f t="shared" si="45"/>
        <v>1</v>
      </c>
    </row>
    <row r="1451" spans="1:15">
      <c r="A1451" t="s">
        <v>1627</v>
      </c>
      <c r="B1451" s="2">
        <v>46271</v>
      </c>
      <c r="C1451" t="s">
        <v>165</v>
      </c>
      <c r="D1451" t="s">
        <v>15</v>
      </c>
      <c r="E1451" t="s">
        <v>121</v>
      </c>
      <c r="F1451" t="s">
        <v>23</v>
      </c>
      <c r="G1451">
        <v>1</v>
      </c>
      <c r="H1451" s="3">
        <v>6.5</v>
      </c>
      <c r="I1451" s="3">
        <v>6.5</v>
      </c>
      <c r="J1451" t="s">
        <v>53</v>
      </c>
      <c r="K1451">
        <v>4</v>
      </c>
      <c r="L1451">
        <v>8</v>
      </c>
      <c r="M1451" t="s">
        <v>19</v>
      </c>
      <c r="N1451">
        <f t="shared" si="44"/>
        <v>6.5</v>
      </c>
      <c r="O1451" t="b">
        <f t="shared" si="45"/>
        <v>1</v>
      </c>
    </row>
    <row r="1452" spans="1:15">
      <c r="A1452" t="s">
        <v>1628</v>
      </c>
      <c r="B1452" s="2">
        <v>46272</v>
      </c>
      <c r="C1452" t="s">
        <v>145</v>
      </c>
      <c r="D1452" t="s">
        <v>35</v>
      </c>
      <c r="E1452" t="s">
        <v>56</v>
      </c>
      <c r="F1452" t="s">
        <v>23</v>
      </c>
      <c r="G1452">
        <v>1</v>
      </c>
      <c r="H1452" s="3">
        <v>3.75</v>
      </c>
      <c r="I1452" s="3">
        <v>3.75</v>
      </c>
      <c r="J1452" t="s">
        <v>32</v>
      </c>
      <c r="K1452">
        <v>19</v>
      </c>
      <c r="L1452">
        <v>6</v>
      </c>
      <c r="M1452" t="s">
        <v>19</v>
      </c>
      <c r="N1452">
        <f t="shared" si="44"/>
        <v>3.75</v>
      </c>
      <c r="O1452" t="b">
        <f t="shared" si="45"/>
        <v>1</v>
      </c>
    </row>
    <row r="1453" spans="1:15">
      <c r="A1453" t="s">
        <v>1629</v>
      </c>
      <c r="B1453" s="2">
        <v>46073</v>
      </c>
      <c r="C1453" t="s">
        <v>73</v>
      </c>
      <c r="D1453" t="s">
        <v>35</v>
      </c>
      <c r="E1453" t="s">
        <v>30</v>
      </c>
      <c r="F1453" t="s">
        <v>31</v>
      </c>
      <c r="G1453">
        <v>2</v>
      </c>
      <c r="H1453" s="3">
        <v>8.5</v>
      </c>
      <c r="I1453" s="3">
        <v>17</v>
      </c>
      <c r="J1453" t="s">
        <v>18</v>
      </c>
      <c r="K1453">
        <v>29</v>
      </c>
      <c r="L1453">
        <v>25</v>
      </c>
      <c r="M1453" t="s">
        <v>19</v>
      </c>
      <c r="N1453">
        <f t="shared" si="44"/>
        <v>17</v>
      </c>
      <c r="O1453" t="b">
        <f t="shared" si="45"/>
        <v>1</v>
      </c>
    </row>
    <row r="1454" spans="1:15">
      <c r="A1454" t="s">
        <v>1630</v>
      </c>
      <c r="B1454" s="2">
        <v>46224</v>
      </c>
      <c r="C1454" t="s">
        <v>493</v>
      </c>
      <c r="D1454" t="s">
        <v>35</v>
      </c>
      <c r="E1454" t="s">
        <v>96</v>
      </c>
      <c r="F1454" t="s">
        <v>47</v>
      </c>
      <c r="G1454">
        <v>2</v>
      </c>
      <c r="H1454" s="3">
        <v>5.75</v>
      </c>
      <c r="I1454" s="3">
        <v>11.5</v>
      </c>
      <c r="J1454" t="s">
        <v>32</v>
      </c>
      <c r="K1454">
        <v>13</v>
      </c>
      <c r="L1454">
        <v>21</v>
      </c>
      <c r="M1454" t="s">
        <v>19</v>
      </c>
      <c r="N1454">
        <f t="shared" si="44"/>
        <v>11.5</v>
      </c>
      <c r="O1454" t="b">
        <f t="shared" si="45"/>
        <v>1</v>
      </c>
    </row>
    <row r="1455" spans="1:15">
      <c r="A1455" t="s">
        <v>1631</v>
      </c>
      <c r="B1455" s="2">
        <v>46244</v>
      </c>
      <c r="C1455" t="s">
        <v>73</v>
      </c>
      <c r="D1455" t="s">
        <v>35</v>
      </c>
      <c r="E1455" t="s">
        <v>121</v>
      </c>
      <c r="F1455" t="s">
        <v>23</v>
      </c>
      <c r="G1455">
        <v>1</v>
      </c>
      <c r="H1455" s="3">
        <v>6.5</v>
      </c>
      <c r="I1455" s="3">
        <v>6.5</v>
      </c>
      <c r="J1455" t="s">
        <v>27</v>
      </c>
      <c r="K1455">
        <v>11</v>
      </c>
      <c r="L1455">
        <v>11</v>
      </c>
      <c r="M1455" t="s">
        <v>19</v>
      </c>
      <c r="N1455">
        <f t="shared" si="44"/>
        <v>6.5</v>
      </c>
      <c r="O1455" t="b">
        <f t="shared" si="45"/>
        <v>1</v>
      </c>
    </row>
    <row r="1456" spans="1:15">
      <c r="A1456" t="s">
        <v>1632</v>
      </c>
      <c r="B1456" s="2">
        <v>46234</v>
      </c>
      <c r="C1456" t="s">
        <v>49</v>
      </c>
      <c r="D1456" t="s">
        <v>35</v>
      </c>
      <c r="E1456" t="s">
        <v>41</v>
      </c>
      <c r="F1456" t="s">
        <v>31</v>
      </c>
      <c r="G1456">
        <v>1</v>
      </c>
      <c r="H1456" s="3">
        <v>5.5</v>
      </c>
      <c r="I1456" s="3">
        <v>5.5</v>
      </c>
      <c r="J1456" t="s">
        <v>27</v>
      </c>
      <c r="K1456">
        <v>8</v>
      </c>
      <c r="L1456">
        <v>10</v>
      </c>
      <c r="M1456" t="s">
        <v>19</v>
      </c>
      <c r="N1456">
        <f t="shared" si="44"/>
        <v>5.5</v>
      </c>
      <c r="O1456" t="b">
        <f t="shared" si="45"/>
        <v>1</v>
      </c>
    </row>
    <row r="1457" spans="1:15">
      <c r="A1457" t="s">
        <v>1633</v>
      </c>
      <c r="B1457" s="2">
        <v>46047</v>
      </c>
      <c r="C1457" t="s">
        <v>258</v>
      </c>
      <c r="D1457" t="s">
        <v>15</v>
      </c>
      <c r="E1457" t="s">
        <v>70</v>
      </c>
      <c r="F1457" t="s">
        <v>17</v>
      </c>
      <c r="G1457">
        <v>1</v>
      </c>
      <c r="H1457" s="3">
        <v>12.5</v>
      </c>
      <c r="I1457" s="3">
        <v>12.5</v>
      </c>
      <c r="J1457" t="s">
        <v>27</v>
      </c>
      <c r="K1457">
        <v>21</v>
      </c>
      <c r="L1457">
        <v>29</v>
      </c>
      <c r="M1457" t="s">
        <v>19</v>
      </c>
      <c r="N1457">
        <f t="shared" si="44"/>
        <v>12.5</v>
      </c>
      <c r="O1457" t="b">
        <f t="shared" si="45"/>
        <v>1</v>
      </c>
    </row>
    <row r="1458" spans="1:15">
      <c r="A1458" t="s">
        <v>1634</v>
      </c>
      <c r="B1458" s="2">
        <v>46228</v>
      </c>
      <c r="C1458" t="s">
        <v>167</v>
      </c>
      <c r="D1458" t="s">
        <v>35</v>
      </c>
      <c r="E1458" t="s">
        <v>39</v>
      </c>
      <c r="F1458" t="s">
        <v>17</v>
      </c>
      <c r="G1458">
        <v>1</v>
      </c>
      <c r="H1458" s="3">
        <v>12.95</v>
      </c>
      <c r="I1458" s="3">
        <v>12.95</v>
      </c>
      <c r="J1458" t="s">
        <v>27</v>
      </c>
      <c r="K1458">
        <v>8</v>
      </c>
      <c r="L1458">
        <v>9</v>
      </c>
      <c r="M1458" t="s">
        <v>19</v>
      </c>
      <c r="N1458">
        <f t="shared" si="44"/>
        <v>12.95</v>
      </c>
      <c r="O1458" t="b">
        <f t="shared" si="45"/>
        <v>1</v>
      </c>
    </row>
    <row r="1459" spans="1:15">
      <c r="A1459" t="s">
        <v>1635</v>
      </c>
      <c r="B1459" s="2">
        <v>46179</v>
      </c>
      <c r="C1459" t="s">
        <v>154</v>
      </c>
      <c r="D1459" t="s">
        <v>15</v>
      </c>
      <c r="E1459" t="s">
        <v>46</v>
      </c>
      <c r="F1459" t="s">
        <v>47</v>
      </c>
      <c r="G1459">
        <v>1</v>
      </c>
      <c r="H1459" s="3">
        <v>6.95</v>
      </c>
      <c r="I1459" s="3">
        <v>6.95</v>
      </c>
      <c r="J1459" t="s">
        <v>27</v>
      </c>
      <c r="K1459">
        <v>21</v>
      </c>
      <c r="L1459">
        <v>13</v>
      </c>
      <c r="M1459" t="s">
        <v>19</v>
      </c>
      <c r="N1459">
        <f t="shared" si="44"/>
        <v>6.95</v>
      </c>
      <c r="O1459" t="b">
        <f t="shared" si="45"/>
        <v>1</v>
      </c>
    </row>
    <row r="1460" spans="1:15">
      <c r="A1460" t="s">
        <v>1636</v>
      </c>
      <c r="B1460" s="2">
        <v>46218</v>
      </c>
      <c r="C1460" t="s">
        <v>77</v>
      </c>
      <c r="D1460" t="s">
        <v>15</v>
      </c>
      <c r="E1460" t="s">
        <v>93</v>
      </c>
      <c r="F1460" t="s">
        <v>31</v>
      </c>
      <c r="G1460">
        <v>2</v>
      </c>
      <c r="H1460" s="3">
        <v>6.25</v>
      </c>
      <c r="I1460" s="3">
        <v>12.5</v>
      </c>
      <c r="J1460" t="s">
        <v>27</v>
      </c>
      <c r="K1460">
        <v>11</v>
      </c>
      <c r="L1460">
        <v>16</v>
      </c>
      <c r="M1460" t="s">
        <v>19</v>
      </c>
      <c r="N1460">
        <f t="shared" si="44"/>
        <v>12.5</v>
      </c>
      <c r="O1460" t="b">
        <f t="shared" si="45"/>
        <v>1</v>
      </c>
    </row>
    <row r="1461" spans="1:15">
      <c r="A1461" t="s">
        <v>1637</v>
      </c>
      <c r="B1461" s="2">
        <v>46120</v>
      </c>
      <c r="C1461" t="s">
        <v>69</v>
      </c>
      <c r="D1461" t="s">
        <v>35</v>
      </c>
      <c r="E1461" t="s">
        <v>36</v>
      </c>
      <c r="F1461" t="s">
        <v>23</v>
      </c>
      <c r="G1461">
        <v>1</v>
      </c>
      <c r="H1461" s="3">
        <v>2.8</v>
      </c>
      <c r="I1461" s="3">
        <v>2.8</v>
      </c>
      <c r="J1461" t="s">
        <v>27</v>
      </c>
      <c r="K1461">
        <v>18</v>
      </c>
      <c r="L1461">
        <v>2</v>
      </c>
      <c r="M1461" t="s">
        <v>19</v>
      </c>
      <c r="N1461">
        <f t="shared" si="44"/>
        <v>2.8</v>
      </c>
      <c r="O1461" t="b">
        <f t="shared" si="45"/>
        <v>1</v>
      </c>
    </row>
    <row r="1462" spans="1:15">
      <c r="A1462" t="s">
        <v>1638</v>
      </c>
      <c r="B1462" s="2">
        <v>46061</v>
      </c>
      <c r="C1462" t="s">
        <v>61</v>
      </c>
      <c r="D1462" t="s">
        <v>15</v>
      </c>
      <c r="E1462" t="s">
        <v>56</v>
      </c>
      <c r="F1462" t="s">
        <v>23</v>
      </c>
      <c r="G1462">
        <v>3</v>
      </c>
      <c r="H1462" s="3">
        <v>3.75</v>
      </c>
      <c r="I1462" s="3">
        <v>11.25</v>
      </c>
      <c r="J1462" t="s">
        <v>27</v>
      </c>
      <c r="K1462">
        <v>23</v>
      </c>
      <c r="L1462">
        <v>5</v>
      </c>
      <c r="M1462" t="s">
        <v>19</v>
      </c>
      <c r="N1462">
        <f t="shared" si="44"/>
        <v>11.25</v>
      </c>
      <c r="O1462" t="b">
        <f t="shared" si="45"/>
        <v>1</v>
      </c>
    </row>
    <row r="1463" spans="1:15">
      <c r="A1463" t="s">
        <v>1639</v>
      </c>
      <c r="B1463" s="2">
        <v>46204</v>
      </c>
      <c r="C1463" t="s">
        <v>34</v>
      </c>
      <c r="D1463" t="s">
        <v>35</v>
      </c>
      <c r="E1463" t="s">
        <v>126</v>
      </c>
      <c r="F1463" t="s">
        <v>31</v>
      </c>
      <c r="G1463">
        <v>2</v>
      </c>
      <c r="H1463" s="3">
        <v>7.95</v>
      </c>
      <c r="I1463" s="3">
        <v>15.9</v>
      </c>
      <c r="J1463" t="s">
        <v>53</v>
      </c>
      <c r="K1463">
        <v>11</v>
      </c>
      <c r="L1463">
        <v>22</v>
      </c>
      <c r="M1463" t="s">
        <v>19</v>
      </c>
      <c r="N1463">
        <f t="shared" si="44"/>
        <v>15.9</v>
      </c>
      <c r="O1463" t="b">
        <f t="shared" si="45"/>
        <v>1</v>
      </c>
    </row>
    <row r="1464" spans="1:15">
      <c r="A1464" t="s">
        <v>1640</v>
      </c>
      <c r="B1464" s="2">
        <v>46249</v>
      </c>
      <c r="C1464" t="s">
        <v>75</v>
      </c>
      <c r="D1464" t="s">
        <v>35</v>
      </c>
      <c r="E1464" t="s">
        <v>50</v>
      </c>
      <c r="F1464" t="s">
        <v>17</v>
      </c>
      <c r="G1464">
        <v>2</v>
      </c>
      <c r="H1464" s="3">
        <v>14.5</v>
      </c>
      <c r="I1464" s="3">
        <v>29</v>
      </c>
      <c r="J1464" t="s">
        <v>53</v>
      </c>
      <c r="K1464">
        <v>23</v>
      </c>
      <c r="L1464">
        <v>24</v>
      </c>
      <c r="M1464" t="s">
        <v>19</v>
      </c>
      <c r="N1464">
        <f t="shared" si="44"/>
        <v>29</v>
      </c>
      <c r="O1464" t="b">
        <f t="shared" si="45"/>
        <v>1</v>
      </c>
    </row>
    <row r="1465" spans="1:15">
      <c r="A1465" t="s">
        <v>1641</v>
      </c>
      <c r="B1465" s="2">
        <v>46148</v>
      </c>
      <c r="C1465" t="s">
        <v>137</v>
      </c>
      <c r="D1465" t="s">
        <v>35</v>
      </c>
      <c r="E1465" t="s">
        <v>70</v>
      </c>
      <c r="F1465" t="s">
        <v>17</v>
      </c>
      <c r="G1465">
        <v>1</v>
      </c>
      <c r="H1465" s="3">
        <v>12.5</v>
      </c>
      <c r="I1465" s="3">
        <v>12.5</v>
      </c>
      <c r="J1465" t="s">
        <v>53</v>
      </c>
      <c r="K1465">
        <v>8</v>
      </c>
      <c r="L1465">
        <v>20</v>
      </c>
      <c r="M1465" t="s">
        <v>19</v>
      </c>
      <c r="N1465">
        <f t="shared" si="44"/>
        <v>12.5</v>
      </c>
      <c r="O1465" t="b">
        <f t="shared" si="45"/>
        <v>1</v>
      </c>
    </row>
    <row r="1466" spans="1:15">
      <c r="A1466" t="s">
        <v>1642</v>
      </c>
      <c r="B1466" s="2">
        <v>46270</v>
      </c>
      <c r="C1466" t="s">
        <v>208</v>
      </c>
      <c r="D1466" t="s">
        <v>35</v>
      </c>
      <c r="E1466" t="s">
        <v>36</v>
      </c>
      <c r="F1466" t="s">
        <v>23</v>
      </c>
      <c r="G1466">
        <v>4</v>
      </c>
      <c r="H1466" s="3">
        <v>2.8</v>
      </c>
      <c r="I1466" s="3">
        <v>11.2</v>
      </c>
      <c r="J1466" t="s">
        <v>18</v>
      </c>
      <c r="K1466">
        <v>19</v>
      </c>
      <c r="L1466">
        <v>3</v>
      </c>
      <c r="M1466" t="s">
        <v>19</v>
      </c>
      <c r="N1466">
        <f t="shared" si="44"/>
        <v>11.2</v>
      </c>
      <c r="O1466" t="b">
        <f t="shared" si="45"/>
        <v>1</v>
      </c>
    </row>
    <row r="1467" spans="1:15">
      <c r="A1467" t="s">
        <v>1643</v>
      </c>
      <c r="B1467" s="2">
        <v>46221</v>
      </c>
      <c r="C1467" t="s">
        <v>271</v>
      </c>
      <c r="D1467" t="s">
        <v>35</v>
      </c>
      <c r="E1467" t="s">
        <v>41</v>
      </c>
      <c r="F1467" t="s">
        <v>31</v>
      </c>
      <c r="G1467">
        <v>1</v>
      </c>
      <c r="H1467" s="3">
        <v>5.5</v>
      </c>
      <c r="I1467" s="3">
        <v>5.5</v>
      </c>
      <c r="J1467" t="s">
        <v>53</v>
      </c>
      <c r="K1467">
        <v>29</v>
      </c>
      <c r="L1467">
        <v>26</v>
      </c>
      <c r="M1467" t="s">
        <v>19</v>
      </c>
      <c r="N1467">
        <f t="shared" si="44"/>
        <v>5.5</v>
      </c>
      <c r="O1467" t="b">
        <f t="shared" si="45"/>
        <v>1</v>
      </c>
    </row>
    <row r="1468" spans="1:15">
      <c r="A1468" t="s">
        <v>1644</v>
      </c>
      <c r="B1468" s="2">
        <v>46143</v>
      </c>
      <c r="C1468" t="s">
        <v>80</v>
      </c>
      <c r="D1468" t="s">
        <v>15</v>
      </c>
      <c r="E1468" t="s">
        <v>50</v>
      </c>
      <c r="F1468" t="s">
        <v>17</v>
      </c>
      <c r="G1468">
        <v>1</v>
      </c>
      <c r="H1468" s="3">
        <v>14.5</v>
      </c>
      <c r="I1468" s="3">
        <v>14.5</v>
      </c>
      <c r="J1468" t="s">
        <v>27</v>
      </c>
      <c r="K1468">
        <v>5</v>
      </c>
      <c r="L1468">
        <v>16</v>
      </c>
      <c r="M1468" t="s">
        <v>19</v>
      </c>
      <c r="N1468">
        <f t="shared" si="44"/>
        <v>14.5</v>
      </c>
      <c r="O1468" t="b">
        <f t="shared" si="45"/>
        <v>1</v>
      </c>
    </row>
    <row r="1469" spans="1:15">
      <c r="A1469" t="s">
        <v>1645</v>
      </c>
      <c r="B1469" s="2">
        <v>46282</v>
      </c>
      <c r="C1469" t="s">
        <v>519</v>
      </c>
      <c r="D1469" t="s">
        <v>35</v>
      </c>
      <c r="E1469" t="s">
        <v>59</v>
      </c>
      <c r="F1469" t="s">
        <v>17</v>
      </c>
      <c r="G1469">
        <v>2</v>
      </c>
      <c r="H1469" s="3">
        <v>11.95</v>
      </c>
      <c r="I1469" s="3">
        <v>23.9</v>
      </c>
      <c r="J1469" t="s">
        <v>18</v>
      </c>
      <c r="K1469">
        <v>8</v>
      </c>
      <c r="L1469">
        <v>27</v>
      </c>
      <c r="M1469" t="s">
        <v>19</v>
      </c>
      <c r="N1469">
        <f t="shared" si="44"/>
        <v>23.9</v>
      </c>
      <c r="O1469" t="b">
        <f t="shared" si="45"/>
        <v>1</v>
      </c>
    </row>
    <row r="1470" spans="1:15">
      <c r="A1470" t="s">
        <v>1646</v>
      </c>
      <c r="B1470" s="2">
        <v>46137</v>
      </c>
      <c r="C1470" t="s">
        <v>191</v>
      </c>
      <c r="D1470" t="s">
        <v>35</v>
      </c>
      <c r="E1470" t="s">
        <v>96</v>
      </c>
      <c r="F1470" t="s">
        <v>47</v>
      </c>
      <c r="G1470">
        <v>2</v>
      </c>
      <c r="H1470" s="3">
        <v>5.75</v>
      </c>
      <c r="I1470" s="3">
        <v>11.5</v>
      </c>
      <c r="J1470" t="s">
        <v>27</v>
      </c>
      <c r="K1470">
        <v>6</v>
      </c>
      <c r="L1470">
        <v>18</v>
      </c>
      <c r="M1470" t="s">
        <v>19</v>
      </c>
      <c r="N1470">
        <f t="shared" si="44"/>
        <v>11.5</v>
      </c>
      <c r="O1470" t="b">
        <f t="shared" si="45"/>
        <v>1</v>
      </c>
    </row>
    <row r="1471" spans="1:15">
      <c r="A1471" t="s">
        <v>1647</v>
      </c>
      <c r="B1471" s="2">
        <v>46252</v>
      </c>
      <c r="C1471" t="s">
        <v>493</v>
      </c>
      <c r="D1471" t="s">
        <v>35</v>
      </c>
      <c r="E1471" t="s">
        <v>103</v>
      </c>
      <c r="F1471" t="s">
        <v>23</v>
      </c>
      <c r="G1471">
        <v>2</v>
      </c>
      <c r="H1471" s="3">
        <v>3.25</v>
      </c>
      <c r="I1471" s="3">
        <v>6.5</v>
      </c>
      <c r="J1471" t="s">
        <v>18</v>
      </c>
      <c r="K1471">
        <v>3</v>
      </c>
      <c r="L1471">
        <v>11</v>
      </c>
      <c r="M1471" t="s">
        <v>19</v>
      </c>
      <c r="N1471">
        <f t="shared" si="44"/>
        <v>6.5</v>
      </c>
      <c r="O1471" t="b">
        <f t="shared" si="45"/>
        <v>1</v>
      </c>
    </row>
    <row r="1472" spans="1:15">
      <c r="A1472" t="s">
        <v>1648</v>
      </c>
      <c r="B1472" s="2">
        <v>46056</v>
      </c>
      <c r="C1472" t="s">
        <v>273</v>
      </c>
      <c r="D1472" t="s">
        <v>35</v>
      </c>
      <c r="E1472" t="s">
        <v>41</v>
      </c>
      <c r="F1472" t="s">
        <v>31</v>
      </c>
      <c r="G1472">
        <v>3</v>
      </c>
      <c r="H1472" s="3">
        <v>5.5</v>
      </c>
      <c r="I1472" s="3">
        <v>16.5</v>
      </c>
      <c r="J1472" t="s">
        <v>18</v>
      </c>
      <c r="K1472">
        <v>14</v>
      </c>
      <c r="L1472">
        <v>27</v>
      </c>
      <c r="M1472" t="s">
        <v>19</v>
      </c>
      <c r="N1472">
        <f t="shared" si="44"/>
        <v>16.5</v>
      </c>
      <c r="O1472" t="b">
        <f t="shared" si="45"/>
        <v>1</v>
      </c>
    </row>
    <row r="1473" spans="1:15">
      <c r="A1473" t="s">
        <v>1649</v>
      </c>
      <c r="B1473" s="2">
        <v>46091</v>
      </c>
      <c r="C1473" t="s">
        <v>110</v>
      </c>
      <c r="D1473" t="s">
        <v>35</v>
      </c>
      <c r="E1473" t="s">
        <v>96</v>
      </c>
      <c r="F1473" t="s">
        <v>47</v>
      </c>
      <c r="G1473">
        <v>1</v>
      </c>
      <c r="H1473" s="3">
        <v>5.75</v>
      </c>
      <c r="I1473" s="3">
        <v>5.75</v>
      </c>
      <c r="J1473" t="s">
        <v>27</v>
      </c>
      <c r="K1473">
        <v>22</v>
      </c>
      <c r="L1473">
        <v>21</v>
      </c>
      <c r="M1473" t="s">
        <v>19</v>
      </c>
      <c r="N1473">
        <f t="shared" si="44"/>
        <v>5.75</v>
      </c>
      <c r="O1473" t="b">
        <f t="shared" si="45"/>
        <v>1</v>
      </c>
    </row>
    <row r="1474" spans="1:15">
      <c r="A1474" t="s">
        <v>1650</v>
      </c>
      <c r="B1474" s="2">
        <v>46142</v>
      </c>
      <c r="C1474" t="s">
        <v>145</v>
      </c>
      <c r="D1474" t="s">
        <v>35</v>
      </c>
      <c r="E1474" t="s">
        <v>50</v>
      </c>
      <c r="F1474" t="s">
        <v>17</v>
      </c>
      <c r="G1474">
        <v>2</v>
      </c>
      <c r="H1474" s="3">
        <v>14.5</v>
      </c>
      <c r="I1474" s="3">
        <v>29</v>
      </c>
      <c r="J1474" t="s">
        <v>27</v>
      </c>
      <c r="K1474">
        <v>20</v>
      </c>
      <c r="L1474">
        <v>9</v>
      </c>
      <c r="M1474" t="s">
        <v>19</v>
      </c>
      <c r="N1474">
        <f t="shared" ref="N1474:N1501" si="46">G1474*H1474</f>
        <v>29</v>
      </c>
      <c r="O1474" t="b">
        <f t="shared" ref="O1474:O1501" si="47">OR(AND(M1474="Completed",I1474=N1474),AND(M1474="Refunded",ABS(I1474)=N1474),AND(M1474="Cancelled",I1474=0))</f>
        <v>1</v>
      </c>
    </row>
    <row r="1475" spans="1:15">
      <c r="A1475" t="s">
        <v>1651</v>
      </c>
      <c r="B1475" s="2">
        <v>46206</v>
      </c>
      <c r="C1475" t="s">
        <v>182</v>
      </c>
      <c r="D1475" t="s">
        <v>35</v>
      </c>
      <c r="E1475" t="s">
        <v>39</v>
      </c>
      <c r="F1475" t="s">
        <v>17</v>
      </c>
      <c r="G1475">
        <v>1</v>
      </c>
      <c r="H1475" s="3">
        <v>12.95</v>
      </c>
      <c r="I1475" s="3">
        <v>12.95</v>
      </c>
      <c r="J1475" t="s">
        <v>18</v>
      </c>
      <c r="K1475">
        <v>6</v>
      </c>
      <c r="L1475">
        <v>13</v>
      </c>
      <c r="M1475" t="s">
        <v>19</v>
      </c>
      <c r="N1475">
        <f t="shared" si="46"/>
        <v>12.95</v>
      </c>
      <c r="O1475" t="b">
        <f t="shared" si="47"/>
        <v>1</v>
      </c>
    </row>
    <row r="1476" spans="1:15">
      <c r="A1476" t="s">
        <v>1652</v>
      </c>
      <c r="B1476" s="2">
        <v>46150</v>
      </c>
      <c r="C1476" t="s">
        <v>85</v>
      </c>
      <c r="D1476" t="s">
        <v>35</v>
      </c>
      <c r="E1476" t="s">
        <v>26</v>
      </c>
      <c r="F1476" t="s">
        <v>17</v>
      </c>
      <c r="G1476">
        <v>2</v>
      </c>
      <c r="H1476" s="3">
        <v>11.5</v>
      </c>
      <c r="I1476" s="3">
        <v>23</v>
      </c>
      <c r="J1476" t="s">
        <v>53</v>
      </c>
      <c r="K1476">
        <v>4</v>
      </c>
      <c r="L1476">
        <v>19</v>
      </c>
      <c r="M1476" t="s">
        <v>19</v>
      </c>
      <c r="N1476">
        <f t="shared" si="46"/>
        <v>23</v>
      </c>
      <c r="O1476" t="b">
        <f t="shared" si="47"/>
        <v>1</v>
      </c>
    </row>
    <row r="1477" spans="1:15">
      <c r="A1477" t="s">
        <v>1653</v>
      </c>
      <c r="B1477" s="2">
        <v>46221</v>
      </c>
      <c r="C1477" t="s">
        <v>506</v>
      </c>
      <c r="D1477" t="s">
        <v>35</v>
      </c>
      <c r="E1477" t="s">
        <v>103</v>
      </c>
      <c r="F1477" t="s">
        <v>23</v>
      </c>
      <c r="G1477">
        <v>1</v>
      </c>
      <c r="H1477" s="3">
        <v>3.25</v>
      </c>
      <c r="I1477" s="3">
        <v>3.25</v>
      </c>
      <c r="J1477" t="s">
        <v>27</v>
      </c>
      <c r="K1477">
        <v>6</v>
      </c>
      <c r="L1477">
        <v>7</v>
      </c>
      <c r="M1477" t="s">
        <v>19</v>
      </c>
      <c r="N1477">
        <f t="shared" si="46"/>
        <v>3.25</v>
      </c>
      <c r="O1477" t="b">
        <f t="shared" si="47"/>
        <v>1</v>
      </c>
    </row>
    <row r="1478" spans="1:15">
      <c r="A1478" t="s">
        <v>1654</v>
      </c>
      <c r="B1478" s="2">
        <v>46204</v>
      </c>
      <c r="C1478" t="s">
        <v>43</v>
      </c>
      <c r="D1478" t="s">
        <v>15</v>
      </c>
      <c r="E1478" t="s">
        <v>103</v>
      </c>
      <c r="F1478" t="s">
        <v>23</v>
      </c>
      <c r="G1478">
        <v>1</v>
      </c>
      <c r="H1478" s="3">
        <v>3.25</v>
      </c>
      <c r="I1478" s="3">
        <v>3.25</v>
      </c>
      <c r="J1478" t="s">
        <v>18</v>
      </c>
      <c r="K1478">
        <v>21</v>
      </c>
      <c r="L1478">
        <v>5</v>
      </c>
      <c r="M1478" t="s">
        <v>19</v>
      </c>
      <c r="N1478">
        <f t="shared" si="46"/>
        <v>3.25</v>
      </c>
      <c r="O1478" t="b">
        <f t="shared" si="47"/>
        <v>1</v>
      </c>
    </row>
    <row r="1479" spans="1:15">
      <c r="A1479" t="s">
        <v>1655</v>
      </c>
      <c r="B1479" s="2">
        <v>46196</v>
      </c>
      <c r="C1479" t="s">
        <v>400</v>
      </c>
      <c r="D1479" t="s">
        <v>35</v>
      </c>
      <c r="E1479" t="s">
        <v>41</v>
      </c>
      <c r="F1479" t="s">
        <v>31</v>
      </c>
      <c r="G1479">
        <v>1</v>
      </c>
      <c r="H1479" s="3">
        <v>5.5</v>
      </c>
      <c r="I1479" s="3">
        <v>5.5</v>
      </c>
      <c r="J1479" t="s">
        <v>53</v>
      </c>
      <c r="K1479">
        <v>2</v>
      </c>
      <c r="L1479">
        <v>22</v>
      </c>
      <c r="M1479" t="s">
        <v>19</v>
      </c>
      <c r="N1479">
        <f t="shared" si="46"/>
        <v>5.5</v>
      </c>
      <c r="O1479" t="b">
        <f t="shared" si="47"/>
        <v>1</v>
      </c>
    </row>
    <row r="1480" spans="1:15">
      <c r="A1480" t="s">
        <v>1656</v>
      </c>
      <c r="B1480" s="2">
        <v>46053</v>
      </c>
      <c r="C1480" t="s">
        <v>142</v>
      </c>
      <c r="D1480" t="s">
        <v>35</v>
      </c>
      <c r="E1480" t="s">
        <v>26</v>
      </c>
      <c r="F1480" t="s">
        <v>17</v>
      </c>
      <c r="G1480">
        <v>3</v>
      </c>
      <c r="H1480" s="3">
        <v>11.5</v>
      </c>
      <c r="I1480" s="3">
        <v>34.5</v>
      </c>
      <c r="J1480" t="s">
        <v>27</v>
      </c>
      <c r="K1480">
        <v>10</v>
      </c>
      <c r="L1480">
        <v>25</v>
      </c>
      <c r="M1480" t="s">
        <v>19</v>
      </c>
      <c r="N1480">
        <f t="shared" si="46"/>
        <v>34.5</v>
      </c>
      <c r="O1480" t="b">
        <f t="shared" si="47"/>
        <v>1</v>
      </c>
    </row>
    <row r="1481" spans="1:15">
      <c r="A1481" t="s">
        <v>1657</v>
      </c>
      <c r="B1481" s="2">
        <v>46214</v>
      </c>
      <c r="C1481" t="s">
        <v>116</v>
      </c>
      <c r="D1481" t="s">
        <v>35</v>
      </c>
      <c r="E1481" t="s">
        <v>56</v>
      </c>
      <c r="F1481" t="s">
        <v>23</v>
      </c>
      <c r="G1481">
        <v>1</v>
      </c>
      <c r="H1481" s="3">
        <v>3.75</v>
      </c>
      <c r="I1481" s="3">
        <v>3.75</v>
      </c>
      <c r="J1481" t="s">
        <v>53</v>
      </c>
      <c r="K1481">
        <v>7</v>
      </c>
      <c r="L1481">
        <v>13</v>
      </c>
      <c r="M1481" t="s">
        <v>19</v>
      </c>
      <c r="N1481">
        <f t="shared" si="46"/>
        <v>3.75</v>
      </c>
      <c r="O1481" t="b">
        <f t="shared" si="47"/>
        <v>1</v>
      </c>
    </row>
    <row r="1482" spans="1:15">
      <c r="A1482" t="s">
        <v>1658</v>
      </c>
      <c r="B1482" s="2">
        <v>46072</v>
      </c>
      <c r="C1482" t="s">
        <v>210</v>
      </c>
      <c r="D1482" t="s">
        <v>35</v>
      </c>
      <c r="E1482" t="s">
        <v>30</v>
      </c>
      <c r="F1482" t="s">
        <v>31</v>
      </c>
      <c r="G1482">
        <v>1</v>
      </c>
      <c r="H1482" s="3">
        <v>8.5</v>
      </c>
      <c r="I1482" s="3">
        <v>8.5</v>
      </c>
      <c r="J1482" t="s">
        <v>18</v>
      </c>
      <c r="K1482">
        <v>6</v>
      </c>
      <c r="L1482">
        <v>16</v>
      </c>
      <c r="M1482" t="s">
        <v>19</v>
      </c>
      <c r="N1482">
        <f t="shared" si="46"/>
        <v>8.5</v>
      </c>
      <c r="O1482" t="b">
        <f t="shared" si="47"/>
        <v>1</v>
      </c>
    </row>
    <row r="1483" spans="1:15">
      <c r="A1483" t="s">
        <v>1659</v>
      </c>
      <c r="B1483" s="2">
        <v>46250</v>
      </c>
      <c r="C1483" t="s">
        <v>178</v>
      </c>
      <c r="D1483" t="s">
        <v>15</v>
      </c>
      <c r="E1483" t="s">
        <v>59</v>
      </c>
      <c r="F1483" t="s">
        <v>17</v>
      </c>
      <c r="G1483">
        <v>2</v>
      </c>
      <c r="H1483" s="3">
        <v>11.95</v>
      </c>
      <c r="I1483" s="3">
        <v>23.9</v>
      </c>
      <c r="J1483" t="s">
        <v>27</v>
      </c>
      <c r="K1483">
        <v>30</v>
      </c>
      <c r="L1483">
        <v>5</v>
      </c>
      <c r="M1483" t="s">
        <v>19</v>
      </c>
      <c r="N1483">
        <f t="shared" si="46"/>
        <v>23.9</v>
      </c>
      <c r="O1483" t="b">
        <f t="shared" si="47"/>
        <v>1</v>
      </c>
    </row>
    <row r="1484" spans="1:15">
      <c r="A1484" t="s">
        <v>1660</v>
      </c>
      <c r="B1484" s="2">
        <v>46201</v>
      </c>
      <c r="C1484" t="s">
        <v>254</v>
      </c>
      <c r="D1484" t="s">
        <v>35</v>
      </c>
      <c r="E1484" t="s">
        <v>106</v>
      </c>
      <c r="F1484" t="s">
        <v>17</v>
      </c>
      <c r="G1484">
        <v>3</v>
      </c>
      <c r="H1484" s="3">
        <v>15.95</v>
      </c>
      <c r="I1484" s="3">
        <v>47.85</v>
      </c>
      <c r="J1484" t="s">
        <v>53</v>
      </c>
      <c r="K1484">
        <v>20</v>
      </c>
      <c r="L1484">
        <v>21</v>
      </c>
      <c r="M1484" t="s">
        <v>19</v>
      </c>
      <c r="N1484">
        <f t="shared" si="46"/>
        <v>47.849999999999994</v>
      </c>
      <c r="O1484" t="b">
        <f t="shared" si="47"/>
        <v>1</v>
      </c>
    </row>
    <row r="1485" spans="1:15">
      <c r="A1485" t="s">
        <v>1661</v>
      </c>
      <c r="B1485" s="2">
        <v>46255</v>
      </c>
      <c r="C1485" t="s">
        <v>145</v>
      </c>
      <c r="D1485" t="s">
        <v>35</v>
      </c>
      <c r="E1485" t="s">
        <v>96</v>
      </c>
      <c r="F1485" t="s">
        <v>47</v>
      </c>
      <c r="G1485">
        <v>3</v>
      </c>
      <c r="H1485" s="3">
        <v>5.75</v>
      </c>
      <c r="I1485" s="3">
        <v>17.25</v>
      </c>
      <c r="J1485" t="s">
        <v>27</v>
      </c>
      <c r="K1485">
        <v>18</v>
      </c>
      <c r="L1485">
        <v>23</v>
      </c>
      <c r="M1485" t="s">
        <v>19</v>
      </c>
      <c r="N1485">
        <f t="shared" si="46"/>
        <v>17.25</v>
      </c>
      <c r="O1485" t="b">
        <f t="shared" si="47"/>
        <v>1</v>
      </c>
    </row>
    <row r="1486" spans="1:15">
      <c r="A1486" t="s">
        <v>1662</v>
      </c>
      <c r="B1486" s="2">
        <v>46149</v>
      </c>
      <c r="C1486" t="s">
        <v>236</v>
      </c>
      <c r="D1486" t="s">
        <v>15</v>
      </c>
      <c r="E1486" t="s">
        <v>70</v>
      </c>
      <c r="F1486" t="s">
        <v>17</v>
      </c>
      <c r="G1486">
        <v>2</v>
      </c>
      <c r="H1486" s="3">
        <v>12.5</v>
      </c>
      <c r="I1486" s="3">
        <v>25</v>
      </c>
      <c r="J1486" t="s">
        <v>18</v>
      </c>
      <c r="K1486">
        <v>30</v>
      </c>
      <c r="L1486">
        <v>7</v>
      </c>
      <c r="M1486" t="s">
        <v>19</v>
      </c>
      <c r="N1486">
        <f t="shared" si="46"/>
        <v>25</v>
      </c>
      <c r="O1486" t="b">
        <f t="shared" si="47"/>
        <v>1</v>
      </c>
    </row>
    <row r="1487" spans="1:15">
      <c r="A1487" t="s">
        <v>1663</v>
      </c>
      <c r="B1487" s="2">
        <v>46073</v>
      </c>
      <c r="C1487" t="s">
        <v>199</v>
      </c>
      <c r="D1487" t="s">
        <v>35</v>
      </c>
      <c r="E1487" t="s">
        <v>93</v>
      </c>
      <c r="F1487" t="s">
        <v>31</v>
      </c>
      <c r="G1487">
        <v>3</v>
      </c>
      <c r="H1487" s="3">
        <v>6.25</v>
      </c>
      <c r="I1487" s="3">
        <v>18.75</v>
      </c>
      <c r="J1487" t="s">
        <v>18</v>
      </c>
      <c r="K1487">
        <v>19</v>
      </c>
      <c r="L1487">
        <v>30</v>
      </c>
      <c r="M1487" t="s">
        <v>19</v>
      </c>
      <c r="N1487">
        <f t="shared" si="46"/>
        <v>18.75</v>
      </c>
      <c r="O1487" t="b">
        <f t="shared" si="47"/>
        <v>1</v>
      </c>
    </row>
    <row r="1488" spans="1:15">
      <c r="A1488" t="s">
        <v>1664</v>
      </c>
      <c r="B1488" s="2">
        <v>46290</v>
      </c>
      <c r="C1488" t="s">
        <v>130</v>
      </c>
      <c r="D1488" t="s">
        <v>35</v>
      </c>
      <c r="E1488" t="s">
        <v>70</v>
      </c>
      <c r="F1488" t="s">
        <v>17</v>
      </c>
      <c r="G1488">
        <v>1</v>
      </c>
      <c r="H1488" s="3">
        <v>12.5</v>
      </c>
      <c r="I1488" s="3">
        <v>12.5</v>
      </c>
      <c r="J1488" t="s">
        <v>18</v>
      </c>
      <c r="K1488">
        <v>21</v>
      </c>
      <c r="L1488">
        <v>16</v>
      </c>
      <c r="M1488" t="s">
        <v>19</v>
      </c>
      <c r="N1488">
        <f t="shared" si="46"/>
        <v>12.5</v>
      </c>
      <c r="O1488" t="b">
        <f t="shared" si="47"/>
        <v>1</v>
      </c>
    </row>
    <row r="1489" spans="1:15">
      <c r="A1489" t="s">
        <v>1665</v>
      </c>
      <c r="B1489" s="2">
        <v>46245</v>
      </c>
      <c r="C1489" t="s">
        <v>214</v>
      </c>
      <c r="D1489" t="s">
        <v>15</v>
      </c>
      <c r="E1489" t="s">
        <v>103</v>
      </c>
      <c r="F1489" t="s">
        <v>23</v>
      </c>
      <c r="G1489">
        <v>1</v>
      </c>
      <c r="H1489" s="3">
        <v>3.25</v>
      </c>
      <c r="I1489" s="3">
        <v>3.25</v>
      </c>
      <c r="J1489" t="s">
        <v>18</v>
      </c>
      <c r="K1489">
        <v>16</v>
      </c>
      <c r="L1489">
        <v>10</v>
      </c>
      <c r="M1489" t="s">
        <v>19</v>
      </c>
      <c r="N1489">
        <f t="shared" si="46"/>
        <v>3.25</v>
      </c>
      <c r="O1489" t="b">
        <f t="shared" si="47"/>
        <v>1</v>
      </c>
    </row>
    <row r="1490" spans="1:15">
      <c r="A1490" t="s">
        <v>1666</v>
      </c>
      <c r="B1490" s="2">
        <v>46179</v>
      </c>
      <c r="C1490" t="s">
        <v>64</v>
      </c>
      <c r="D1490" t="s">
        <v>35</v>
      </c>
      <c r="E1490" t="s">
        <v>83</v>
      </c>
      <c r="F1490" t="s">
        <v>17</v>
      </c>
      <c r="G1490">
        <v>1</v>
      </c>
      <c r="H1490" s="3">
        <v>13.5</v>
      </c>
      <c r="I1490" s="3">
        <v>13.5</v>
      </c>
      <c r="J1490" t="s">
        <v>18</v>
      </c>
      <c r="K1490">
        <v>29</v>
      </c>
      <c r="L1490">
        <v>20</v>
      </c>
      <c r="M1490" t="s">
        <v>19</v>
      </c>
      <c r="N1490">
        <f t="shared" si="46"/>
        <v>13.5</v>
      </c>
      <c r="O1490" t="b">
        <f t="shared" si="47"/>
        <v>1</v>
      </c>
    </row>
    <row r="1491" spans="1:15">
      <c r="A1491" t="s">
        <v>1667</v>
      </c>
      <c r="B1491" s="2">
        <v>46111</v>
      </c>
      <c r="C1491" t="s">
        <v>366</v>
      </c>
      <c r="D1491" t="s">
        <v>35</v>
      </c>
      <c r="E1491" t="s">
        <v>36</v>
      </c>
      <c r="F1491" t="s">
        <v>23</v>
      </c>
      <c r="G1491">
        <v>1</v>
      </c>
      <c r="H1491" s="3">
        <v>2.8</v>
      </c>
      <c r="I1491" s="3">
        <v>2.8</v>
      </c>
      <c r="J1491" t="s">
        <v>27</v>
      </c>
      <c r="K1491">
        <v>13</v>
      </c>
      <c r="L1491">
        <v>15</v>
      </c>
      <c r="M1491" t="s">
        <v>19</v>
      </c>
      <c r="N1491">
        <f t="shared" si="46"/>
        <v>2.8</v>
      </c>
      <c r="O1491" t="b">
        <f t="shared" si="47"/>
        <v>1</v>
      </c>
    </row>
    <row r="1492" spans="1:15">
      <c r="A1492" t="s">
        <v>1668</v>
      </c>
      <c r="B1492" s="2">
        <v>46049</v>
      </c>
      <c r="C1492" t="s">
        <v>55</v>
      </c>
      <c r="D1492" t="s">
        <v>35</v>
      </c>
      <c r="E1492" t="s">
        <v>22</v>
      </c>
      <c r="F1492" t="s">
        <v>23</v>
      </c>
      <c r="G1492">
        <v>1</v>
      </c>
      <c r="H1492" s="3">
        <v>3.1</v>
      </c>
      <c r="I1492" s="3">
        <v>3.1</v>
      </c>
      <c r="J1492" t="s">
        <v>53</v>
      </c>
      <c r="K1492">
        <v>2</v>
      </c>
      <c r="L1492">
        <v>3</v>
      </c>
      <c r="M1492" t="s">
        <v>19</v>
      </c>
      <c r="N1492">
        <f t="shared" si="46"/>
        <v>3.1</v>
      </c>
      <c r="O1492" t="b">
        <f t="shared" si="47"/>
        <v>1</v>
      </c>
    </row>
    <row r="1493" spans="1:15">
      <c r="A1493" t="s">
        <v>1669</v>
      </c>
      <c r="B1493" s="2">
        <v>46073</v>
      </c>
      <c r="C1493" t="s">
        <v>116</v>
      </c>
      <c r="D1493" t="s">
        <v>35</v>
      </c>
      <c r="E1493" t="s">
        <v>93</v>
      </c>
      <c r="F1493" t="s">
        <v>31</v>
      </c>
      <c r="G1493">
        <v>1</v>
      </c>
      <c r="H1493" s="3">
        <v>6.25</v>
      </c>
      <c r="I1493" s="3">
        <v>6.25</v>
      </c>
      <c r="J1493" t="s">
        <v>27</v>
      </c>
      <c r="K1493">
        <v>16</v>
      </c>
      <c r="L1493">
        <v>19</v>
      </c>
      <c r="M1493" t="s">
        <v>19</v>
      </c>
      <c r="N1493">
        <f t="shared" si="46"/>
        <v>6.25</v>
      </c>
      <c r="O1493" t="b">
        <f t="shared" si="47"/>
        <v>1</v>
      </c>
    </row>
    <row r="1494" spans="1:15">
      <c r="A1494" t="s">
        <v>1670</v>
      </c>
      <c r="B1494" s="2">
        <v>46030</v>
      </c>
      <c r="C1494" t="s">
        <v>165</v>
      </c>
      <c r="D1494" t="s">
        <v>15</v>
      </c>
      <c r="E1494" t="s">
        <v>59</v>
      </c>
      <c r="F1494" t="s">
        <v>17</v>
      </c>
      <c r="G1494">
        <v>3</v>
      </c>
      <c r="H1494" s="3">
        <v>11.95</v>
      </c>
      <c r="I1494" s="3">
        <v>35.85</v>
      </c>
      <c r="J1494" t="s">
        <v>32</v>
      </c>
      <c r="K1494">
        <v>30</v>
      </c>
      <c r="L1494">
        <v>23</v>
      </c>
      <c r="M1494" t="s">
        <v>19</v>
      </c>
      <c r="N1494">
        <f t="shared" si="46"/>
        <v>35.849999999999994</v>
      </c>
      <c r="O1494" t="b">
        <f t="shared" si="47"/>
        <v>1</v>
      </c>
    </row>
    <row r="1495" spans="1:15">
      <c r="A1495" t="s">
        <v>1671</v>
      </c>
      <c r="B1495" s="2">
        <v>46113</v>
      </c>
      <c r="C1495" t="s">
        <v>245</v>
      </c>
      <c r="D1495" t="s">
        <v>35</v>
      </c>
      <c r="E1495" t="s">
        <v>46</v>
      </c>
      <c r="F1495" t="s">
        <v>47</v>
      </c>
      <c r="G1495">
        <v>1</v>
      </c>
      <c r="H1495" s="3">
        <v>6.95</v>
      </c>
      <c r="I1495" s="3">
        <v>6.95</v>
      </c>
      <c r="J1495" t="s">
        <v>27</v>
      </c>
      <c r="K1495">
        <v>20</v>
      </c>
      <c r="L1495">
        <v>15</v>
      </c>
      <c r="M1495" t="s">
        <v>19</v>
      </c>
      <c r="N1495">
        <f t="shared" si="46"/>
        <v>6.95</v>
      </c>
      <c r="O1495" t="b">
        <f t="shared" si="47"/>
        <v>1</v>
      </c>
    </row>
    <row r="1496" spans="1:15">
      <c r="A1496" t="s">
        <v>1672</v>
      </c>
      <c r="B1496" s="2">
        <v>46155</v>
      </c>
      <c r="C1496" t="s">
        <v>137</v>
      </c>
      <c r="D1496" t="s">
        <v>35</v>
      </c>
      <c r="E1496" t="s">
        <v>121</v>
      </c>
      <c r="F1496" t="s">
        <v>23</v>
      </c>
      <c r="G1496">
        <v>2</v>
      </c>
      <c r="H1496" s="3">
        <v>6.5</v>
      </c>
      <c r="I1496" s="3">
        <v>13</v>
      </c>
      <c r="J1496" t="s">
        <v>18</v>
      </c>
      <c r="K1496">
        <v>21</v>
      </c>
      <c r="L1496">
        <v>7</v>
      </c>
      <c r="M1496" t="s">
        <v>19</v>
      </c>
      <c r="N1496">
        <f t="shared" si="46"/>
        <v>13</v>
      </c>
      <c r="O1496" t="b">
        <f t="shared" si="47"/>
        <v>1</v>
      </c>
    </row>
    <row r="1497" spans="1:15">
      <c r="A1497" t="s">
        <v>1673</v>
      </c>
      <c r="B1497" s="2">
        <v>46162</v>
      </c>
      <c r="C1497" t="s">
        <v>297</v>
      </c>
      <c r="D1497" t="s">
        <v>35</v>
      </c>
      <c r="E1497" t="s">
        <v>78</v>
      </c>
      <c r="F1497" t="s">
        <v>47</v>
      </c>
      <c r="G1497">
        <v>1</v>
      </c>
      <c r="H1497" s="3">
        <v>7.25</v>
      </c>
      <c r="I1497" s="3">
        <v>7.25</v>
      </c>
      <c r="J1497" t="s">
        <v>32</v>
      </c>
      <c r="K1497">
        <v>27</v>
      </c>
      <c r="L1497">
        <v>33</v>
      </c>
      <c r="M1497" t="s">
        <v>19</v>
      </c>
      <c r="N1497">
        <f t="shared" si="46"/>
        <v>7.25</v>
      </c>
      <c r="O1497" t="b">
        <f t="shared" si="47"/>
        <v>1</v>
      </c>
    </row>
    <row r="1498" spans="1:15">
      <c r="A1498" t="s">
        <v>1674</v>
      </c>
      <c r="B1498" s="2">
        <v>46152</v>
      </c>
      <c r="C1498" t="s">
        <v>615</v>
      </c>
      <c r="D1498" t="s">
        <v>35</v>
      </c>
      <c r="E1498" t="s">
        <v>46</v>
      </c>
      <c r="F1498" t="s">
        <v>47</v>
      </c>
      <c r="G1498">
        <v>1</v>
      </c>
      <c r="H1498" s="3">
        <v>6.95</v>
      </c>
      <c r="I1498" s="3">
        <v>-6.95</v>
      </c>
      <c r="J1498" t="s">
        <v>27</v>
      </c>
      <c r="K1498">
        <v>8</v>
      </c>
      <c r="L1498">
        <v>11</v>
      </c>
      <c r="M1498" t="s">
        <v>62</v>
      </c>
      <c r="N1498">
        <f t="shared" si="46"/>
        <v>6.95</v>
      </c>
      <c r="O1498" t="b">
        <f t="shared" si="47"/>
        <v>1</v>
      </c>
    </row>
    <row r="1499" spans="1:15">
      <c r="A1499" t="s">
        <v>1675</v>
      </c>
      <c r="B1499" s="2">
        <v>46081</v>
      </c>
      <c r="C1499" t="s">
        <v>29</v>
      </c>
      <c r="D1499" t="s">
        <v>15</v>
      </c>
      <c r="E1499" t="s">
        <v>106</v>
      </c>
      <c r="F1499" t="s">
        <v>17</v>
      </c>
      <c r="G1499">
        <v>1</v>
      </c>
      <c r="H1499" s="3">
        <v>15.95</v>
      </c>
      <c r="I1499" s="3">
        <v>15.95</v>
      </c>
      <c r="J1499" t="s">
        <v>27</v>
      </c>
      <c r="K1499">
        <v>24</v>
      </c>
      <c r="L1499">
        <v>18</v>
      </c>
      <c r="M1499" t="s">
        <v>19</v>
      </c>
      <c r="N1499">
        <f t="shared" si="46"/>
        <v>15.95</v>
      </c>
      <c r="O1499" t="b">
        <f t="shared" si="47"/>
        <v>1</v>
      </c>
    </row>
    <row r="1500" spans="1:15">
      <c r="A1500" t="s">
        <v>1676</v>
      </c>
      <c r="B1500" s="2">
        <v>46226</v>
      </c>
      <c r="C1500" t="s">
        <v>465</v>
      </c>
      <c r="D1500" t="s">
        <v>15</v>
      </c>
      <c r="E1500" t="s">
        <v>121</v>
      </c>
      <c r="F1500" t="s">
        <v>23</v>
      </c>
      <c r="G1500">
        <v>1</v>
      </c>
      <c r="H1500" s="3">
        <v>6.5</v>
      </c>
      <c r="I1500" s="3">
        <v>-6.5</v>
      </c>
      <c r="J1500" t="s">
        <v>27</v>
      </c>
      <c r="K1500">
        <v>29</v>
      </c>
      <c r="L1500">
        <v>17</v>
      </c>
      <c r="M1500" t="s">
        <v>62</v>
      </c>
      <c r="N1500">
        <f t="shared" si="46"/>
        <v>6.5</v>
      </c>
      <c r="O1500" t="b">
        <f t="shared" si="47"/>
        <v>1</v>
      </c>
    </row>
    <row r="1501" spans="1:15">
      <c r="A1501" t="s">
        <v>1677</v>
      </c>
      <c r="B1501" s="2">
        <v>46067</v>
      </c>
      <c r="C1501" t="s">
        <v>205</v>
      </c>
      <c r="D1501" t="s">
        <v>35</v>
      </c>
      <c r="E1501" t="s">
        <v>50</v>
      </c>
      <c r="F1501" t="s">
        <v>17</v>
      </c>
      <c r="G1501">
        <v>1</v>
      </c>
      <c r="H1501" s="3">
        <v>14.5</v>
      </c>
      <c r="I1501" s="3">
        <v>14.5</v>
      </c>
      <c r="J1501" t="s">
        <v>18</v>
      </c>
      <c r="K1501">
        <v>16</v>
      </c>
      <c r="L1501">
        <v>27</v>
      </c>
      <c r="M1501" t="s">
        <v>19</v>
      </c>
      <c r="N1501">
        <f t="shared" si="46"/>
        <v>14.5</v>
      </c>
      <c r="O1501" t="b">
        <f t="shared" si="47"/>
        <v>1</v>
      </c>
    </row>
  </sheetData>
  <conditionalFormatting sqref="A2:A1501">
    <cfRule type="duplicateValues" dxfId="0" priority="1"/>
  </conditionalFormatting>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pane ySplit="1" topLeftCell="A2" activePane="bottomLeft" state="frozen"/>
      <selection pane="bottomLeft"/>
    </sheetView>
  </sheetViews>
  <sheetFormatPr defaultRowHeight="14"/>
  <cols>
    <col min="1" max="1" width="22" customWidth="1"/>
    <col min="2" max="2" width="70" customWidth="1"/>
  </cols>
  <sheetData>
    <row r="1" spans="1:2">
      <c r="A1" s="1" t="s">
        <v>1678</v>
      </c>
      <c r="B1" s="4" t="s">
        <v>1679</v>
      </c>
    </row>
    <row r="2" spans="1:2">
      <c r="A2" t="s">
        <v>0</v>
      </c>
      <c r="B2" t="s">
        <v>1680</v>
      </c>
    </row>
    <row r="3" spans="1:2">
      <c r="A3" t="s">
        <v>1</v>
      </c>
      <c r="B3" t="s">
        <v>1681</v>
      </c>
    </row>
    <row r="4" spans="1:2">
      <c r="A4" t="s">
        <v>2</v>
      </c>
      <c r="B4" t="s">
        <v>1682</v>
      </c>
    </row>
    <row r="5" spans="1:2">
      <c r="A5" t="s">
        <v>3</v>
      </c>
      <c r="B5" t="s">
        <v>1683</v>
      </c>
    </row>
    <row r="6" spans="1:2">
      <c r="A6" t="s">
        <v>4</v>
      </c>
      <c r="B6" t="s">
        <v>1684</v>
      </c>
    </row>
    <row r="7" spans="1:2">
      <c r="A7" t="s">
        <v>5</v>
      </c>
      <c r="B7" t="s">
        <v>1685</v>
      </c>
    </row>
    <row r="8" spans="1:2">
      <c r="A8" t="s">
        <v>6</v>
      </c>
      <c r="B8" t="s">
        <v>1686</v>
      </c>
    </row>
    <row r="9" spans="1:2">
      <c r="A9" t="s">
        <v>7</v>
      </c>
      <c r="B9" t="s">
        <v>1687</v>
      </c>
    </row>
    <row r="10" spans="1:2">
      <c r="A10" t="s">
        <v>8</v>
      </c>
      <c r="B10" t="s">
        <v>1688</v>
      </c>
    </row>
    <row r="11" spans="1:2">
      <c r="A11" t="s">
        <v>9</v>
      </c>
      <c r="B11" t="s">
        <v>1689</v>
      </c>
    </row>
    <row r="12" spans="1:2">
      <c r="A12" t="s">
        <v>10</v>
      </c>
      <c r="B12" t="s">
        <v>1690</v>
      </c>
    </row>
    <row r="13" spans="1:2">
      <c r="A13" t="s">
        <v>11</v>
      </c>
      <c r="B13" t="s">
        <v>1691</v>
      </c>
    </row>
    <row r="14" spans="1:2">
      <c r="A14" t="s">
        <v>12</v>
      </c>
      <c r="B14" t="s">
        <v>1692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election sqref="A1:B1"/>
    </sheetView>
  </sheetViews>
  <sheetFormatPr defaultRowHeight="14"/>
  <cols>
    <col min="1" max="1" width="25" customWidth="1"/>
    <col min="2" max="2" width="90" customWidth="1"/>
  </cols>
  <sheetData>
    <row r="1" spans="1:2" ht="18">
      <c r="A1" s="22" t="s">
        <v>1693</v>
      </c>
      <c r="B1" s="22"/>
    </row>
    <row r="2" spans="1:2">
      <c r="A2" s="5" t="s">
        <v>1694</v>
      </c>
      <c r="B2" s="6" t="s">
        <v>1695</v>
      </c>
    </row>
    <row r="3" spans="1:2">
      <c r="A3" s="5" t="s">
        <v>1696</v>
      </c>
      <c r="B3" s="6" t="s">
        <v>1697</v>
      </c>
    </row>
    <row r="4" spans="1:2">
      <c r="A4" s="5" t="s">
        <v>1698</v>
      </c>
      <c r="B4" s="6" t="s">
        <v>1699</v>
      </c>
    </row>
    <row r="5" spans="1:2">
      <c r="A5" s="5"/>
      <c r="B5" s="6" t="s">
        <v>1700</v>
      </c>
    </row>
    <row r="6" spans="1:2">
      <c r="A6" s="5"/>
      <c r="B6" s="6" t="s">
        <v>1701</v>
      </c>
    </row>
    <row r="7" spans="1:2">
      <c r="A7" s="5"/>
      <c r="B7" s="6" t="s">
        <v>1702</v>
      </c>
    </row>
    <row r="8" spans="1:2">
      <c r="A8" s="5"/>
      <c r="B8" s="6" t="s">
        <v>1703</v>
      </c>
    </row>
    <row r="9" spans="1:2">
      <c r="A9" s="5"/>
      <c r="B9" s="6" t="s">
        <v>1704</v>
      </c>
    </row>
    <row r="10" spans="1:2">
      <c r="A10" s="5" t="s">
        <v>1705</v>
      </c>
      <c r="B10" s="6" t="s">
        <v>1706</v>
      </c>
    </row>
    <row r="11" spans="1:2" ht="28">
      <c r="A11" s="5" t="s">
        <v>1707</v>
      </c>
      <c r="B11" s="6" t="s">
        <v>1708</v>
      </c>
    </row>
    <row r="12" spans="1:2">
      <c r="A12" s="5" t="s">
        <v>1709</v>
      </c>
      <c r="B12" s="6" t="s">
        <v>1710</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KPI_Summary</vt:lpstr>
      <vt:lpstr>Sales_by_shift</vt:lpstr>
      <vt:lpstr>Sales_by_Category</vt:lpstr>
      <vt:lpstr>Sales_by_payment_method</vt:lpstr>
      <vt:lpstr>Top_5_Menu_Items</vt:lpstr>
      <vt:lpstr>Sales_by_Category+graph</vt:lpstr>
      <vt:lpstr>Sales_by_Order_Status</vt:lpstr>
      <vt:lpstr>Monthly_sales_Trend</vt:lpstr>
      <vt:lpstr>AVG_Wait_Time_by_Shift</vt:lpstr>
      <vt:lpstr>DASHBORD</vt:lpstr>
      <vt:lpstr>Total_Sales</vt:lpstr>
      <vt:lpstr>Total_Sales_Slicer</vt:lpstr>
      <vt:lpstr>Total_Orders_Slicer</vt:lpstr>
      <vt:lpstr>AVG_Wait_Time_Slicer</vt:lpstr>
      <vt:lpstr>Restaurant_Data</vt:lpstr>
      <vt:lpstr>Data_Dictionary</vt:lpstr>
      <vt:lpstr>Project_Brief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Srimanreddy</dc:creator>
  <cp:lastModifiedBy>sriman reddy masireddy</cp:lastModifiedBy>
  <dcterms:created xsi:type="dcterms:W3CDTF">2026-10-19T13:18:05Z</dcterms:created>
  <dcterms:modified xsi:type="dcterms:W3CDTF">2026-10-19T13:26:09Z</dcterms:modified>
</cp:coreProperties>
</file>